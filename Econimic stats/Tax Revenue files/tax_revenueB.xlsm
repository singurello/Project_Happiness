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lo\Project Happiness Carlos\Project_Happiness\Econimic stats\Tax Revenue files\"/>
    </mc:Choice>
  </mc:AlternateContent>
  <xr:revisionPtr revIDLastSave="0" documentId="13_ncr:40009_{6AFB1EED-20F7-4397-BCD9-47414A65EEE9}" xr6:coauthVersionLast="43" xr6:coauthVersionMax="43" xr10:uidLastSave="{00000000-0000-0000-0000-000000000000}"/>
  <bookViews>
    <workbookView xWindow="3096" yWindow="3288" windowWidth="17280" windowHeight="9420" activeTab="1"/>
  </bookViews>
  <sheets>
    <sheet name="Sheet1" sheetId="2" r:id="rId1"/>
    <sheet name="tax_revenue" sheetId="1" r:id="rId2"/>
  </sheets>
  <calcPr calcId="0"/>
  <pivotCaches>
    <pivotCache cacheId="5" r:id="rId3"/>
  </pivotCaches>
</workbook>
</file>

<file path=xl/calcChain.xml><?xml version="1.0" encoding="utf-8"?>
<calcChain xmlns="http://schemas.openxmlformats.org/spreadsheetml/2006/main">
  <c r="D1" i="1" l="1"/>
  <c r="C1" i="1"/>
</calcChain>
</file>

<file path=xl/sharedStrings.xml><?xml version="1.0" encoding="utf-8"?>
<sst xmlns="http://schemas.openxmlformats.org/spreadsheetml/2006/main" count="218" uniqueCount="148">
  <si>
    <t>Country Name</t>
  </si>
  <si>
    <t>Afghanistan</t>
  </si>
  <si>
    <t>Angola</t>
  </si>
  <si>
    <t>Albania</t>
  </si>
  <si>
    <t>United Arab Emirates</t>
  </si>
  <si>
    <t>Argentina</t>
  </si>
  <si>
    <t>Armenia</t>
  </si>
  <si>
    <t>Australia</t>
  </si>
  <si>
    <t>Austria</t>
  </si>
  <si>
    <t>Azerbaijan</t>
  </si>
  <si>
    <t>Burundi</t>
  </si>
  <si>
    <t>Belgium</t>
  </si>
  <si>
    <t>Benin</t>
  </si>
  <si>
    <t>Burkina Faso</t>
  </si>
  <si>
    <t>Bangladesh</t>
  </si>
  <si>
    <t>Bulgaria</t>
  </si>
  <si>
    <t>Bahrain</t>
  </si>
  <si>
    <t>Bosnia and Herzegovina</t>
  </si>
  <si>
    <t>Belarus</t>
  </si>
  <si>
    <t>Bolivia</t>
  </si>
  <si>
    <t>Brazil</t>
  </si>
  <si>
    <t>Bhutan</t>
  </si>
  <si>
    <t>Botswana</t>
  </si>
  <si>
    <t>Canada</t>
  </si>
  <si>
    <t>Switzerland</t>
  </si>
  <si>
    <t>Chile</t>
  </si>
  <si>
    <t>China</t>
  </si>
  <si>
    <t>Cameroon</t>
  </si>
  <si>
    <t>Colombia</t>
  </si>
  <si>
    <t>Costa Rica</t>
  </si>
  <si>
    <t>Cyprus</t>
  </si>
  <si>
    <t>Czech Republic</t>
  </si>
  <si>
    <t>Germany</t>
  </si>
  <si>
    <t>Denmark</t>
  </si>
  <si>
    <t>Dominican Republic</t>
  </si>
  <si>
    <t>Algeria</t>
  </si>
  <si>
    <t>Ecuador</t>
  </si>
  <si>
    <t>Spain</t>
  </si>
  <si>
    <t>Estonia</t>
  </si>
  <si>
    <t>Ethiopia</t>
  </si>
  <si>
    <t>Finland</t>
  </si>
  <si>
    <t>France</t>
  </si>
  <si>
    <t>Gabon</t>
  </si>
  <si>
    <t>United Kingdom</t>
  </si>
  <si>
    <t>Georgia</t>
  </si>
  <si>
    <t>Ghana</t>
  </si>
  <si>
    <t>Guinea</t>
  </si>
  <si>
    <t>Greece</t>
  </si>
  <si>
    <t>Guatemala</t>
  </si>
  <si>
    <t>Honduras</t>
  </si>
  <si>
    <t>Croatia</t>
  </si>
  <si>
    <t>Haiti</t>
  </si>
  <si>
    <t>Hungary</t>
  </si>
  <si>
    <t>Indonesia</t>
  </si>
  <si>
    <t>India</t>
  </si>
  <si>
    <t>Ireland</t>
  </si>
  <si>
    <t>Iraq</t>
  </si>
  <si>
    <t>Iceland</t>
  </si>
  <si>
    <t>Israel</t>
  </si>
  <si>
    <t>Italy</t>
  </si>
  <si>
    <t>Jamaica</t>
  </si>
  <si>
    <t>Jordan</t>
  </si>
  <si>
    <t>Japan</t>
  </si>
  <si>
    <t>Kazakhstan</t>
  </si>
  <si>
    <t>Kenya</t>
  </si>
  <si>
    <t>Cambodia</t>
  </si>
  <si>
    <t>Korea, Rep.</t>
  </si>
  <si>
    <t>Kuwait</t>
  </si>
  <si>
    <t>Lebanon</t>
  </si>
  <si>
    <t>Liberia</t>
  </si>
  <si>
    <t>Libya</t>
  </si>
  <si>
    <t>Sri Lanka</t>
  </si>
  <si>
    <t>Lithuania</t>
  </si>
  <si>
    <t>Luxembourg</t>
  </si>
  <si>
    <t>Latvia</t>
  </si>
  <si>
    <t>Morocco</t>
  </si>
  <si>
    <t>Moldova</t>
  </si>
  <si>
    <t>Madagascar</t>
  </si>
  <si>
    <t>Mexico</t>
  </si>
  <si>
    <t>Mali</t>
  </si>
  <si>
    <t>Malta</t>
  </si>
  <si>
    <t>Myanmar</t>
  </si>
  <si>
    <t>Montenegro</t>
  </si>
  <si>
    <t>Mongolia</t>
  </si>
  <si>
    <t>Mauritania</t>
  </si>
  <si>
    <t>Mauritius</t>
  </si>
  <si>
    <t>Malawi</t>
  </si>
  <si>
    <t>Malaysia</t>
  </si>
  <si>
    <t>Niger</t>
  </si>
  <si>
    <t>Nigeria</t>
  </si>
  <si>
    <t>Nicaragua</t>
  </si>
  <si>
    <t>Netherlands</t>
  </si>
  <si>
    <t>Norway</t>
  </si>
  <si>
    <t>Nepal</t>
  </si>
  <si>
    <t>New Zealand</t>
  </si>
  <si>
    <t>Pakistan</t>
  </si>
  <si>
    <t>Panama</t>
  </si>
  <si>
    <t>Peru</t>
  </si>
  <si>
    <t>Philippines</t>
  </si>
  <si>
    <t>Poland</t>
  </si>
  <si>
    <t>Portugal</t>
  </si>
  <si>
    <t>Paraguay</t>
  </si>
  <si>
    <t>Qatar</t>
  </si>
  <si>
    <t>Romania</t>
  </si>
  <si>
    <t>Rwanda</t>
  </si>
  <si>
    <t>Saudi Arabia</t>
  </si>
  <si>
    <t>Sudan</t>
  </si>
  <si>
    <t>Senegal</t>
  </si>
  <si>
    <t>Singapore</t>
  </si>
  <si>
    <t>Sierra Leone</t>
  </si>
  <si>
    <t>El Salvador</t>
  </si>
  <si>
    <t>Serbia</t>
  </si>
  <si>
    <t>Slovak Republic</t>
  </si>
  <si>
    <t>Slovenia</t>
  </si>
  <si>
    <t>Sweden</t>
  </si>
  <si>
    <t>Chad</t>
  </si>
  <si>
    <t>Togo</t>
  </si>
  <si>
    <t>Thailand</t>
  </si>
  <si>
    <t>Tajikistan</t>
  </si>
  <si>
    <t>Turkmenistan</t>
  </si>
  <si>
    <t>Trinidad and Tobago</t>
  </si>
  <si>
    <t>Tunisia</t>
  </si>
  <si>
    <t>Turkey</t>
  </si>
  <si>
    <t>Tanzania</t>
  </si>
  <si>
    <t>Uganda</t>
  </si>
  <si>
    <t>Ukraine</t>
  </si>
  <si>
    <t>Uruguay</t>
  </si>
  <si>
    <t>United States</t>
  </si>
  <si>
    <t>Uzbekistan</t>
  </si>
  <si>
    <t>Vietnam</t>
  </si>
  <si>
    <t>South Africa</t>
  </si>
  <si>
    <t>Zambia</t>
  </si>
  <si>
    <t>Zimbabwe</t>
  </si>
  <si>
    <t>Row Labels</t>
  </si>
  <si>
    <t>Grand Total</t>
  </si>
  <si>
    <t>Sum of Value</t>
  </si>
  <si>
    <t>Column Labels</t>
  </si>
  <si>
    <t>Venezuela</t>
  </si>
  <si>
    <t>Korea</t>
  </si>
  <si>
    <t>Russia</t>
  </si>
  <si>
    <t>Iran</t>
  </si>
  <si>
    <t>Egypt</t>
  </si>
  <si>
    <t>Yemen</t>
  </si>
  <si>
    <t>Congo</t>
  </si>
  <si>
    <t>Syria</t>
  </si>
  <si>
    <t>Tax 2015</t>
  </si>
  <si>
    <t>Tax 2016</t>
  </si>
  <si>
    <t>Tax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</si>
</sst>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[tax_revenueB.xlsm]Sheet1!PivotTable2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Sheet1!$A$5:$A$40</c:f>
              <c:strCache>
                <c:ptCount val="35"/>
                <c:pt idx="0">
                  <c:v>Australia</c:v>
                </c:pt>
                <c:pt idx="1">
                  <c:v>Austria</c:v>
                </c:pt>
                <c:pt idx="2">
                  <c:v>Belgium</c:v>
                </c:pt>
                <c:pt idx="3">
                  <c:v>Canada</c:v>
                </c:pt>
                <c:pt idx="4">
                  <c:v>Chile</c:v>
                </c:pt>
                <c:pt idx="5">
                  <c:v>Czech Republic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Iceland</c:v>
                </c:pt>
                <c:pt idx="14">
                  <c:v>Ireland</c:v>
                </c:pt>
                <c:pt idx="15">
                  <c:v>Israel</c:v>
                </c:pt>
                <c:pt idx="16">
                  <c:v>Italy</c:v>
                </c:pt>
                <c:pt idx="17">
                  <c:v>Japan</c:v>
                </c:pt>
                <c:pt idx="18">
                  <c:v>Korea, Rep.</c:v>
                </c:pt>
                <c:pt idx="19">
                  <c:v>Latvia</c:v>
                </c:pt>
                <c:pt idx="20">
                  <c:v>Luxembourg</c:v>
                </c:pt>
                <c:pt idx="21">
                  <c:v>Mexico</c:v>
                </c:pt>
                <c:pt idx="22">
                  <c:v>Netherlands</c:v>
                </c:pt>
                <c:pt idx="23">
                  <c:v>New Zealand</c:v>
                </c:pt>
                <c:pt idx="24">
                  <c:v>Norway</c:v>
                </c:pt>
                <c:pt idx="25">
                  <c:v>Poland</c:v>
                </c:pt>
                <c:pt idx="26">
                  <c:v>Portugal</c:v>
                </c:pt>
                <c:pt idx="27">
                  <c:v>Slovak Republic</c:v>
                </c:pt>
                <c:pt idx="28">
                  <c:v>Slovenia</c:v>
                </c:pt>
                <c:pt idx="29">
                  <c:v>Spain</c:v>
                </c:pt>
                <c:pt idx="30">
                  <c:v>Sweden</c:v>
                </c:pt>
                <c:pt idx="31">
                  <c:v>Switzerland</c:v>
                </c:pt>
                <c:pt idx="32">
                  <c:v>Turkey</c:v>
                </c:pt>
                <c:pt idx="33">
                  <c:v>United Kingdom</c:v>
                </c:pt>
                <c:pt idx="34">
                  <c:v>United States</c:v>
                </c:pt>
              </c:strCache>
            </c:strRef>
          </c:cat>
          <c:val>
            <c:numRef>
              <c:f>Sheet1!$B$5:$B$40</c:f>
              <c:numCache>
                <c:formatCode>General</c:formatCode>
                <c:ptCount val="35"/>
                <c:pt idx="0">
                  <c:v>27.324999999999999</c:v>
                </c:pt>
                <c:pt idx="1">
                  <c:v>42.71</c:v>
                </c:pt>
                <c:pt idx="2">
                  <c:v>45.073</c:v>
                </c:pt>
                <c:pt idx="3">
                  <c:v>31.34</c:v>
                </c:pt>
                <c:pt idx="4">
                  <c:v>19.61</c:v>
                </c:pt>
                <c:pt idx="5">
                  <c:v>33.094999999999999</c:v>
                </c:pt>
                <c:pt idx="6">
                  <c:v>48.530999999999999</c:v>
                </c:pt>
                <c:pt idx="7">
                  <c:v>32.267000000000003</c:v>
                </c:pt>
                <c:pt idx="8">
                  <c:v>43.814</c:v>
                </c:pt>
                <c:pt idx="9">
                  <c:v>45.448999999999998</c:v>
                </c:pt>
                <c:pt idx="10">
                  <c:v>36.703000000000003</c:v>
                </c:pt>
                <c:pt idx="11">
                  <c:v>35.744999999999997</c:v>
                </c:pt>
                <c:pt idx="12">
                  <c:v>37.984999999999999</c:v>
                </c:pt>
                <c:pt idx="13">
                  <c:v>38.319000000000003</c:v>
                </c:pt>
                <c:pt idx="14">
                  <c:v>28.413</c:v>
                </c:pt>
                <c:pt idx="15">
                  <c:v>31.152000000000001</c:v>
                </c:pt>
                <c:pt idx="16">
                  <c:v>43.473999999999997</c:v>
                </c:pt>
                <c:pt idx="17">
                  <c:v>30.26</c:v>
                </c:pt>
                <c:pt idx="18">
                  <c:v>24.59</c:v>
                </c:pt>
                <c:pt idx="19">
                  <c:v>28.975000000000001</c:v>
                </c:pt>
                <c:pt idx="20">
                  <c:v>37.445999999999998</c:v>
                </c:pt>
                <c:pt idx="21">
                  <c:v>13.704000000000001</c:v>
                </c:pt>
                <c:pt idx="22">
                  <c:v>37.046999999999997</c:v>
                </c:pt>
                <c:pt idx="23">
                  <c:v>31.222999999999999</c:v>
                </c:pt>
                <c:pt idx="24">
                  <c:v>38.792000000000002</c:v>
                </c:pt>
                <c:pt idx="25">
                  <c:v>31.876000000000001</c:v>
                </c:pt>
                <c:pt idx="26">
                  <c:v>34.255000000000003</c:v>
                </c:pt>
                <c:pt idx="27">
                  <c:v>31.123000000000001</c:v>
                </c:pt>
                <c:pt idx="28">
                  <c:v>36.189</c:v>
                </c:pt>
                <c:pt idx="29">
                  <c:v>33.593000000000004</c:v>
                </c:pt>
                <c:pt idx="30">
                  <c:v>42.585000000000001</c:v>
                </c:pt>
                <c:pt idx="31">
                  <c:v>26.882000000000001</c:v>
                </c:pt>
                <c:pt idx="32">
                  <c:v>24.582000000000001</c:v>
                </c:pt>
                <c:pt idx="33">
                  <c:v>31.824999999999999</c:v>
                </c:pt>
                <c:pt idx="34">
                  <c:v>25.975000000000001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CB-4BAA-B2DE-B7199FDDA90D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Sheet1!$A$5:$A$40</c:f>
              <c:strCache>
                <c:ptCount val="35"/>
                <c:pt idx="0">
                  <c:v>Australia</c:v>
                </c:pt>
                <c:pt idx="1">
                  <c:v>Austria</c:v>
                </c:pt>
                <c:pt idx="2">
                  <c:v>Belgium</c:v>
                </c:pt>
                <c:pt idx="3">
                  <c:v>Canada</c:v>
                </c:pt>
                <c:pt idx="4">
                  <c:v>Chile</c:v>
                </c:pt>
                <c:pt idx="5">
                  <c:v>Czech Republic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Iceland</c:v>
                </c:pt>
                <c:pt idx="14">
                  <c:v>Ireland</c:v>
                </c:pt>
                <c:pt idx="15">
                  <c:v>Israel</c:v>
                </c:pt>
                <c:pt idx="16">
                  <c:v>Italy</c:v>
                </c:pt>
                <c:pt idx="17">
                  <c:v>Japan</c:v>
                </c:pt>
                <c:pt idx="18">
                  <c:v>Korea, Rep.</c:v>
                </c:pt>
                <c:pt idx="19">
                  <c:v>Latvia</c:v>
                </c:pt>
                <c:pt idx="20">
                  <c:v>Luxembourg</c:v>
                </c:pt>
                <c:pt idx="21">
                  <c:v>Mexico</c:v>
                </c:pt>
                <c:pt idx="22">
                  <c:v>Netherlands</c:v>
                </c:pt>
                <c:pt idx="23">
                  <c:v>New Zealand</c:v>
                </c:pt>
                <c:pt idx="24">
                  <c:v>Norway</c:v>
                </c:pt>
                <c:pt idx="25">
                  <c:v>Poland</c:v>
                </c:pt>
                <c:pt idx="26">
                  <c:v>Portugal</c:v>
                </c:pt>
                <c:pt idx="27">
                  <c:v>Slovak Republic</c:v>
                </c:pt>
                <c:pt idx="28">
                  <c:v>Slovenia</c:v>
                </c:pt>
                <c:pt idx="29">
                  <c:v>Spain</c:v>
                </c:pt>
                <c:pt idx="30">
                  <c:v>Sweden</c:v>
                </c:pt>
                <c:pt idx="31">
                  <c:v>Switzerland</c:v>
                </c:pt>
                <c:pt idx="32">
                  <c:v>Turkey</c:v>
                </c:pt>
                <c:pt idx="33">
                  <c:v>United Kingdom</c:v>
                </c:pt>
                <c:pt idx="34">
                  <c:v>United States</c:v>
                </c:pt>
              </c:strCache>
            </c:strRef>
          </c:cat>
          <c:val>
            <c:numRef>
              <c:f>Sheet1!$C$5:$C$40</c:f>
              <c:numCache>
                <c:formatCode>General</c:formatCode>
                <c:ptCount val="35"/>
                <c:pt idx="0">
                  <c:v>27.919</c:v>
                </c:pt>
                <c:pt idx="1">
                  <c:v>43.097999999999999</c:v>
                </c:pt>
                <c:pt idx="2">
                  <c:v>44.813000000000002</c:v>
                </c:pt>
                <c:pt idx="3">
                  <c:v>32.677999999999997</c:v>
                </c:pt>
                <c:pt idx="4">
                  <c:v>20.382999999999999</c:v>
                </c:pt>
                <c:pt idx="5">
                  <c:v>33.347000000000001</c:v>
                </c:pt>
                <c:pt idx="6">
                  <c:v>46.131999999999998</c:v>
                </c:pt>
                <c:pt idx="7">
                  <c:v>33.307000000000002</c:v>
                </c:pt>
                <c:pt idx="8">
                  <c:v>43.927999999999997</c:v>
                </c:pt>
                <c:pt idx="9">
                  <c:v>45.280999999999999</c:v>
                </c:pt>
                <c:pt idx="10">
                  <c:v>36.991999999999997</c:v>
                </c:pt>
                <c:pt idx="11">
                  <c:v>36.584000000000003</c:v>
                </c:pt>
                <c:pt idx="12">
                  <c:v>38.709000000000003</c:v>
                </c:pt>
                <c:pt idx="13">
                  <c:v>36.331000000000003</c:v>
                </c:pt>
                <c:pt idx="14">
                  <c:v>23.106000000000002</c:v>
                </c:pt>
                <c:pt idx="15">
                  <c:v>31.311</c:v>
                </c:pt>
                <c:pt idx="16">
                  <c:v>43.112000000000002</c:v>
                </c:pt>
                <c:pt idx="17">
                  <c:v>30.63</c:v>
                </c:pt>
                <c:pt idx="18">
                  <c:v>25.161999999999999</c:v>
                </c:pt>
                <c:pt idx="19">
                  <c:v>29.221</c:v>
                </c:pt>
                <c:pt idx="20">
                  <c:v>37.091999999999999</c:v>
                </c:pt>
                <c:pt idx="21">
                  <c:v>15.933</c:v>
                </c:pt>
                <c:pt idx="22">
                  <c:v>37.006999999999998</c:v>
                </c:pt>
                <c:pt idx="23">
                  <c:v>31.568999999999999</c:v>
                </c:pt>
                <c:pt idx="24">
                  <c:v>38.427999999999997</c:v>
                </c:pt>
                <c:pt idx="25">
                  <c:v>32.366999999999997</c:v>
                </c:pt>
                <c:pt idx="26">
                  <c:v>34.447000000000003</c:v>
                </c:pt>
                <c:pt idx="27">
                  <c:v>32.179000000000002</c:v>
                </c:pt>
                <c:pt idx="28">
                  <c:v>36.353000000000002</c:v>
                </c:pt>
                <c:pt idx="29">
                  <c:v>33.593000000000004</c:v>
                </c:pt>
                <c:pt idx="30">
                  <c:v>43.081000000000003</c:v>
                </c:pt>
                <c:pt idx="31">
                  <c:v>27.594999999999999</c:v>
                </c:pt>
                <c:pt idx="32">
                  <c:v>25.088000000000001</c:v>
                </c:pt>
                <c:pt idx="33">
                  <c:v>32.155999999999999</c:v>
                </c:pt>
                <c:pt idx="34">
                  <c:v>26.234999999999999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CB-4BAA-B2DE-B7199FDDA90D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Sheet1!$A$5:$A$40</c:f>
              <c:strCache>
                <c:ptCount val="35"/>
                <c:pt idx="0">
                  <c:v>Australia</c:v>
                </c:pt>
                <c:pt idx="1">
                  <c:v>Austria</c:v>
                </c:pt>
                <c:pt idx="2">
                  <c:v>Belgium</c:v>
                </c:pt>
                <c:pt idx="3">
                  <c:v>Canada</c:v>
                </c:pt>
                <c:pt idx="4">
                  <c:v>Chile</c:v>
                </c:pt>
                <c:pt idx="5">
                  <c:v>Czech Republic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Iceland</c:v>
                </c:pt>
                <c:pt idx="14">
                  <c:v>Ireland</c:v>
                </c:pt>
                <c:pt idx="15">
                  <c:v>Israel</c:v>
                </c:pt>
                <c:pt idx="16">
                  <c:v>Italy</c:v>
                </c:pt>
                <c:pt idx="17">
                  <c:v>Japan</c:v>
                </c:pt>
                <c:pt idx="18">
                  <c:v>Korea, Rep.</c:v>
                </c:pt>
                <c:pt idx="19">
                  <c:v>Latvia</c:v>
                </c:pt>
                <c:pt idx="20">
                  <c:v>Luxembourg</c:v>
                </c:pt>
                <c:pt idx="21">
                  <c:v>Mexico</c:v>
                </c:pt>
                <c:pt idx="22">
                  <c:v>Netherlands</c:v>
                </c:pt>
                <c:pt idx="23">
                  <c:v>New Zealand</c:v>
                </c:pt>
                <c:pt idx="24">
                  <c:v>Norway</c:v>
                </c:pt>
                <c:pt idx="25">
                  <c:v>Poland</c:v>
                </c:pt>
                <c:pt idx="26">
                  <c:v>Portugal</c:v>
                </c:pt>
                <c:pt idx="27">
                  <c:v>Slovak Republic</c:v>
                </c:pt>
                <c:pt idx="28">
                  <c:v>Slovenia</c:v>
                </c:pt>
                <c:pt idx="29">
                  <c:v>Spain</c:v>
                </c:pt>
                <c:pt idx="30">
                  <c:v>Sweden</c:v>
                </c:pt>
                <c:pt idx="31">
                  <c:v>Switzerland</c:v>
                </c:pt>
                <c:pt idx="32">
                  <c:v>Turkey</c:v>
                </c:pt>
                <c:pt idx="33">
                  <c:v>United Kingdom</c:v>
                </c:pt>
                <c:pt idx="34">
                  <c:v>United States</c:v>
                </c:pt>
              </c:strCache>
            </c:strRef>
          </c:cat>
          <c:val>
            <c:numRef>
              <c:f>Sheet1!$D$5:$D$40</c:f>
              <c:numCache>
                <c:formatCode>General</c:formatCode>
                <c:ptCount val="35"/>
                <c:pt idx="0">
                  <c:v>27.757999999999999</c:v>
                </c:pt>
                <c:pt idx="1">
                  <c:v>42.232999999999997</c:v>
                </c:pt>
                <c:pt idx="2">
                  <c:v>44.081000000000003</c:v>
                </c:pt>
                <c:pt idx="3">
                  <c:v>32.713000000000001</c:v>
                </c:pt>
                <c:pt idx="4">
                  <c:v>20.163</c:v>
                </c:pt>
                <c:pt idx="5">
                  <c:v>34.237000000000002</c:v>
                </c:pt>
                <c:pt idx="6">
                  <c:v>46.189</c:v>
                </c:pt>
                <c:pt idx="7">
                  <c:v>33.731000000000002</c:v>
                </c:pt>
                <c:pt idx="8">
                  <c:v>44.017000000000003</c:v>
                </c:pt>
                <c:pt idx="9">
                  <c:v>45.460999999999999</c:v>
                </c:pt>
                <c:pt idx="10">
                  <c:v>37.430999999999997</c:v>
                </c:pt>
                <c:pt idx="11">
                  <c:v>38.841999999999999</c:v>
                </c:pt>
                <c:pt idx="12">
                  <c:v>39.207999999999998</c:v>
                </c:pt>
                <c:pt idx="13">
                  <c:v>51.594999999999999</c:v>
                </c:pt>
                <c:pt idx="14">
                  <c:v>23.327999999999999</c:v>
                </c:pt>
                <c:pt idx="15">
                  <c:v>31.289000000000001</c:v>
                </c:pt>
                <c:pt idx="16">
                  <c:v>42.609000000000002</c:v>
                </c:pt>
                <c:pt idx="17">
                  <c:v>30.584</c:v>
                </c:pt>
                <c:pt idx="18">
                  <c:v>26.236999999999998</c:v>
                </c:pt>
                <c:pt idx="19">
                  <c:v>30.370999999999999</c:v>
                </c:pt>
                <c:pt idx="20">
                  <c:v>38.146000000000001</c:v>
                </c:pt>
                <c:pt idx="21">
                  <c:v>16.634</c:v>
                </c:pt>
                <c:pt idx="22">
                  <c:v>38.401000000000003</c:v>
                </c:pt>
                <c:pt idx="23">
                  <c:v>31.574000000000002</c:v>
                </c:pt>
                <c:pt idx="24">
                  <c:v>38.698999999999998</c:v>
                </c:pt>
                <c:pt idx="25">
                  <c:v>33.393999999999998</c:v>
                </c:pt>
                <c:pt idx="26">
                  <c:v>34.323</c:v>
                </c:pt>
                <c:pt idx="27">
                  <c:v>32.384999999999998</c:v>
                </c:pt>
                <c:pt idx="28">
                  <c:v>36.450000000000003</c:v>
                </c:pt>
                <c:pt idx="29">
                  <c:v>33.186999999999998</c:v>
                </c:pt>
                <c:pt idx="30">
                  <c:v>44.043999999999997</c:v>
                </c:pt>
                <c:pt idx="31">
                  <c:v>27.763000000000002</c:v>
                </c:pt>
                <c:pt idx="32">
                  <c:v>25.302</c:v>
                </c:pt>
                <c:pt idx="33">
                  <c:v>32.734000000000002</c:v>
                </c:pt>
                <c:pt idx="34">
                  <c:v>25.888000000000002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CB-4BAA-B2DE-B7199FDDA90D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Sheet1!$A$5:$A$40</c:f>
              <c:strCache>
                <c:ptCount val="35"/>
                <c:pt idx="0">
                  <c:v>Australia</c:v>
                </c:pt>
                <c:pt idx="1">
                  <c:v>Austria</c:v>
                </c:pt>
                <c:pt idx="2">
                  <c:v>Belgium</c:v>
                </c:pt>
                <c:pt idx="3">
                  <c:v>Canada</c:v>
                </c:pt>
                <c:pt idx="4">
                  <c:v>Chile</c:v>
                </c:pt>
                <c:pt idx="5">
                  <c:v>Czech Republic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Iceland</c:v>
                </c:pt>
                <c:pt idx="14">
                  <c:v>Ireland</c:v>
                </c:pt>
                <c:pt idx="15">
                  <c:v>Israel</c:v>
                </c:pt>
                <c:pt idx="16">
                  <c:v>Italy</c:v>
                </c:pt>
                <c:pt idx="17">
                  <c:v>Japan</c:v>
                </c:pt>
                <c:pt idx="18">
                  <c:v>Korea, Rep.</c:v>
                </c:pt>
                <c:pt idx="19">
                  <c:v>Latvia</c:v>
                </c:pt>
                <c:pt idx="20">
                  <c:v>Luxembourg</c:v>
                </c:pt>
                <c:pt idx="21">
                  <c:v>Mexico</c:v>
                </c:pt>
                <c:pt idx="22">
                  <c:v>Netherlands</c:v>
                </c:pt>
                <c:pt idx="23">
                  <c:v>New Zealand</c:v>
                </c:pt>
                <c:pt idx="24">
                  <c:v>Norway</c:v>
                </c:pt>
                <c:pt idx="25">
                  <c:v>Poland</c:v>
                </c:pt>
                <c:pt idx="26">
                  <c:v>Portugal</c:v>
                </c:pt>
                <c:pt idx="27">
                  <c:v>Slovak Republic</c:v>
                </c:pt>
                <c:pt idx="28">
                  <c:v>Slovenia</c:v>
                </c:pt>
                <c:pt idx="29">
                  <c:v>Spain</c:v>
                </c:pt>
                <c:pt idx="30">
                  <c:v>Sweden</c:v>
                </c:pt>
                <c:pt idx="31">
                  <c:v>Switzerland</c:v>
                </c:pt>
                <c:pt idx="32">
                  <c:v>Turkey</c:v>
                </c:pt>
                <c:pt idx="33">
                  <c:v>United Kingdom</c:v>
                </c:pt>
                <c:pt idx="34">
                  <c:v>United States</c:v>
                </c:pt>
              </c:strCache>
            </c:strRef>
          </c:cat>
          <c:val>
            <c:numRef>
              <c:f>Sheet1!$E$5:$E$40</c:f>
              <c:numCache>
                <c:formatCode>General</c:formatCode>
                <c:ptCount val="35"/>
                <c:pt idx="1">
                  <c:v>41.774000000000001</c:v>
                </c:pt>
                <c:pt idx="2">
                  <c:v>44.597999999999999</c:v>
                </c:pt>
                <c:pt idx="3">
                  <c:v>32.241</c:v>
                </c:pt>
                <c:pt idx="4">
                  <c:v>20.158000000000001</c:v>
                </c:pt>
                <c:pt idx="5">
                  <c:v>34.893000000000001</c:v>
                </c:pt>
                <c:pt idx="6">
                  <c:v>45.981999999999999</c:v>
                </c:pt>
                <c:pt idx="7">
                  <c:v>32.966999999999999</c:v>
                </c:pt>
                <c:pt idx="8">
                  <c:v>43.34</c:v>
                </c:pt>
                <c:pt idx="9">
                  <c:v>46.231000000000002</c:v>
                </c:pt>
                <c:pt idx="10">
                  <c:v>37.543999999999997</c:v>
                </c:pt>
                <c:pt idx="11">
                  <c:v>39.386000000000003</c:v>
                </c:pt>
                <c:pt idx="12">
                  <c:v>37.71</c:v>
                </c:pt>
                <c:pt idx="13">
                  <c:v>37.686999999999998</c:v>
                </c:pt>
                <c:pt idx="14">
                  <c:v>22.837</c:v>
                </c:pt>
                <c:pt idx="15">
                  <c:v>32.731000000000002</c:v>
                </c:pt>
                <c:pt idx="16">
                  <c:v>42.384999999999998</c:v>
                </c:pt>
                <c:pt idx="18">
                  <c:v>26.9</c:v>
                </c:pt>
                <c:pt idx="19">
                  <c:v>30.402999999999999</c:v>
                </c:pt>
                <c:pt idx="20">
                  <c:v>38.654000000000003</c:v>
                </c:pt>
                <c:pt idx="21">
                  <c:v>16.173999999999999</c:v>
                </c:pt>
                <c:pt idx="22">
                  <c:v>38.752000000000002</c:v>
                </c:pt>
                <c:pt idx="23">
                  <c:v>31.98</c:v>
                </c:pt>
                <c:pt idx="24">
                  <c:v>38.228000000000002</c:v>
                </c:pt>
                <c:pt idx="25">
                  <c:v>33.9</c:v>
                </c:pt>
                <c:pt idx="26">
                  <c:v>34.707999999999998</c:v>
                </c:pt>
                <c:pt idx="27">
                  <c:v>32.9</c:v>
                </c:pt>
                <c:pt idx="28">
                  <c:v>36.021000000000001</c:v>
                </c:pt>
                <c:pt idx="29">
                  <c:v>33.658000000000001</c:v>
                </c:pt>
                <c:pt idx="30">
                  <c:v>43.956000000000003</c:v>
                </c:pt>
                <c:pt idx="31">
                  <c:v>28.456</c:v>
                </c:pt>
                <c:pt idx="32">
                  <c:v>24.890999999999998</c:v>
                </c:pt>
                <c:pt idx="33">
                  <c:v>33.258000000000003</c:v>
                </c:pt>
                <c:pt idx="34">
                  <c:v>27.143000000000001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CB-4BAA-B2DE-B7199FDDA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0001008"/>
        <c:axId val="540003888"/>
      </c:barChart>
      <c:catAx>
        <c:axId val="54000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003888"/>
        <c:crosses val="autoZero"/>
        <c:auto val="1"/>
        <c:lblAlgn val="ctr"/>
        <c:lblOffset val="100"/>
        <c:noMultiLvlLbl val="0"/>
      </c:catAx>
      <c:valAx>
        <c:axId val="54000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00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8</xdr:row>
      <xdr:rowOff>0</xdr:rowOff>
    </xdr:from>
    <xdr:to>
      <xdr:col>15</xdr:col>
      <xdr:colOff>228600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6D3002-B969-4F69-B4D0-58CD780B16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rlo" refreshedDate="43657.816780787034" createdVersion="6" refreshedVersion="6" minRefreshableVersion="3" recordCount="138">
  <cacheSource type="worksheet">
    <worksheetSource ref="A1:F139" sheet="tax_revenue"/>
  </cacheSource>
  <cacheFields count="6">
    <cacheField name="LOCATION" numFmtId="0">
      <sharedItems count="35">
        <s v="Australia"/>
        <s v="Austria"/>
        <s v="Belgium"/>
        <s v="Canada"/>
        <s v="Czech Republic"/>
        <s v="Denmark"/>
        <s v="Finland"/>
        <s v="France"/>
        <s v="Germany"/>
        <s v="Greece"/>
        <s v="Hungary"/>
        <s v="Iceland"/>
        <s v="Ireland"/>
        <s v="Italy"/>
        <s v="Japan"/>
        <s v="Korea, Rep."/>
        <s v="Luxembourg"/>
        <s v="Mexico"/>
        <s v="Netherlands"/>
        <s v="New Zealand"/>
        <s v="Norway"/>
        <s v="Poland"/>
        <s v="Portugal"/>
        <s v="Slovak Republic"/>
        <s v="Spain"/>
        <s v="Sweden"/>
        <s v="Switzerland"/>
        <s v="Turkey"/>
        <s v="United Kingdom"/>
        <s v="United States"/>
        <s v="Chile"/>
        <s v="Estonia"/>
        <s v="Israel"/>
        <s v="Slovenia"/>
        <s v="Latvia"/>
      </sharedItems>
    </cacheField>
    <cacheField name="INDICATOR" numFmtId="0">
      <sharedItems/>
    </cacheField>
    <cacheField name="MEASURE" numFmtId="0">
      <sharedItems/>
    </cacheField>
    <cacheField name="FREQUENCY" numFmtId="0">
      <sharedItems/>
    </cacheField>
    <cacheField name="TIME" numFmtId="0">
      <sharedItems containsSemiMixedTypes="0" containsString="0" containsNumber="1" containsInteger="1" minValue="2014" maxValue="2017" count="4">
        <n v="2014"/>
        <n v="2015"/>
        <n v="2016"/>
        <n v="2017"/>
      </sharedItems>
    </cacheField>
    <cacheField name="Value" numFmtId="0">
      <sharedItems containsSemiMixedTypes="0" containsString="0" containsNumber="1" minValue="13.704000000000001" maxValue="51.594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8">
  <r>
    <x v="0"/>
    <s v="TAXREV"/>
    <s v="PC_GDP"/>
    <s v="A"/>
    <x v="0"/>
    <n v="27.324999999999999"/>
  </r>
  <r>
    <x v="0"/>
    <s v="TAXREV"/>
    <s v="PC_GDP"/>
    <s v="A"/>
    <x v="1"/>
    <n v="27.919"/>
  </r>
  <r>
    <x v="0"/>
    <s v="TAXREV"/>
    <s v="PC_GDP"/>
    <s v="A"/>
    <x v="2"/>
    <n v="27.757999999999999"/>
  </r>
  <r>
    <x v="1"/>
    <s v="TAXREV"/>
    <s v="PC_GDP"/>
    <s v="A"/>
    <x v="0"/>
    <n v="42.71"/>
  </r>
  <r>
    <x v="1"/>
    <s v="TAXREV"/>
    <s v="PC_GDP"/>
    <s v="A"/>
    <x v="1"/>
    <n v="43.097999999999999"/>
  </r>
  <r>
    <x v="1"/>
    <s v="TAXREV"/>
    <s v="PC_GDP"/>
    <s v="A"/>
    <x v="2"/>
    <n v="42.232999999999997"/>
  </r>
  <r>
    <x v="1"/>
    <s v="TAXREV"/>
    <s v="PC_GDP"/>
    <s v="A"/>
    <x v="3"/>
    <n v="41.774000000000001"/>
  </r>
  <r>
    <x v="2"/>
    <s v="TAXREV"/>
    <s v="PC_GDP"/>
    <s v="A"/>
    <x v="0"/>
    <n v="45.073"/>
  </r>
  <r>
    <x v="2"/>
    <s v="TAXREV"/>
    <s v="PC_GDP"/>
    <s v="A"/>
    <x v="1"/>
    <n v="44.813000000000002"/>
  </r>
  <r>
    <x v="2"/>
    <s v="TAXREV"/>
    <s v="PC_GDP"/>
    <s v="A"/>
    <x v="2"/>
    <n v="44.081000000000003"/>
  </r>
  <r>
    <x v="2"/>
    <s v="TAXREV"/>
    <s v="PC_GDP"/>
    <s v="A"/>
    <x v="3"/>
    <n v="44.597999999999999"/>
  </r>
  <r>
    <x v="3"/>
    <s v="TAXREV"/>
    <s v="PC_GDP"/>
    <s v="A"/>
    <x v="0"/>
    <n v="31.34"/>
  </r>
  <r>
    <x v="3"/>
    <s v="TAXREV"/>
    <s v="PC_GDP"/>
    <s v="A"/>
    <x v="1"/>
    <n v="32.677999999999997"/>
  </r>
  <r>
    <x v="3"/>
    <s v="TAXREV"/>
    <s v="PC_GDP"/>
    <s v="A"/>
    <x v="2"/>
    <n v="32.713000000000001"/>
  </r>
  <r>
    <x v="3"/>
    <s v="TAXREV"/>
    <s v="PC_GDP"/>
    <s v="A"/>
    <x v="3"/>
    <n v="32.241"/>
  </r>
  <r>
    <x v="4"/>
    <s v="TAXREV"/>
    <s v="PC_GDP"/>
    <s v="A"/>
    <x v="0"/>
    <n v="33.094999999999999"/>
  </r>
  <r>
    <x v="4"/>
    <s v="TAXREV"/>
    <s v="PC_GDP"/>
    <s v="A"/>
    <x v="1"/>
    <n v="33.347000000000001"/>
  </r>
  <r>
    <x v="4"/>
    <s v="TAXREV"/>
    <s v="PC_GDP"/>
    <s v="A"/>
    <x v="2"/>
    <n v="34.237000000000002"/>
  </r>
  <r>
    <x v="4"/>
    <s v="TAXREV"/>
    <s v="PC_GDP"/>
    <s v="A"/>
    <x v="3"/>
    <n v="34.893000000000001"/>
  </r>
  <r>
    <x v="5"/>
    <s v="TAXREV"/>
    <s v="PC_GDP"/>
    <s v="A"/>
    <x v="0"/>
    <n v="48.530999999999999"/>
  </r>
  <r>
    <x v="5"/>
    <s v="TAXREV"/>
    <s v="PC_GDP"/>
    <s v="A"/>
    <x v="1"/>
    <n v="46.131999999999998"/>
  </r>
  <r>
    <x v="5"/>
    <s v="TAXREV"/>
    <s v="PC_GDP"/>
    <s v="A"/>
    <x v="2"/>
    <n v="46.189"/>
  </r>
  <r>
    <x v="5"/>
    <s v="TAXREV"/>
    <s v="PC_GDP"/>
    <s v="A"/>
    <x v="3"/>
    <n v="45.981999999999999"/>
  </r>
  <r>
    <x v="6"/>
    <s v="TAXREV"/>
    <s v="PC_GDP"/>
    <s v="A"/>
    <x v="0"/>
    <n v="43.814"/>
  </r>
  <r>
    <x v="6"/>
    <s v="TAXREV"/>
    <s v="PC_GDP"/>
    <s v="A"/>
    <x v="1"/>
    <n v="43.927999999999997"/>
  </r>
  <r>
    <x v="6"/>
    <s v="TAXREV"/>
    <s v="PC_GDP"/>
    <s v="A"/>
    <x v="2"/>
    <n v="44.017000000000003"/>
  </r>
  <r>
    <x v="6"/>
    <s v="TAXREV"/>
    <s v="PC_GDP"/>
    <s v="A"/>
    <x v="3"/>
    <n v="43.34"/>
  </r>
  <r>
    <x v="7"/>
    <s v="TAXREV"/>
    <s v="PC_GDP"/>
    <s v="A"/>
    <x v="0"/>
    <n v="45.448999999999998"/>
  </r>
  <r>
    <x v="7"/>
    <s v="TAXREV"/>
    <s v="PC_GDP"/>
    <s v="A"/>
    <x v="1"/>
    <n v="45.280999999999999"/>
  </r>
  <r>
    <x v="7"/>
    <s v="TAXREV"/>
    <s v="PC_GDP"/>
    <s v="A"/>
    <x v="2"/>
    <n v="45.460999999999999"/>
  </r>
  <r>
    <x v="7"/>
    <s v="TAXREV"/>
    <s v="PC_GDP"/>
    <s v="A"/>
    <x v="3"/>
    <n v="46.231000000000002"/>
  </r>
  <r>
    <x v="8"/>
    <s v="TAXREV"/>
    <s v="PC_GDP"/>
    <s v="A"/>
    <x v="0"/>
    <n v="36.703000000000003"/>
  </r>
  <r>
    <x v="8"/>
    <s v="TAXREV"/>
    <s v="PC_GDP"/>
    <s v="A"/>
    <x v="1"/>
    <n v="36.991999999999997"/>
  </r>
  <r>
    <x v="8"/>
    <s v="TAXREV"/>
    <s v="PC_GDP"/>
    <s v="A"/>
    <x v="2"/>
    <n v="37.430999999999997"/>
  </r>
  <r>
    <x v="8"/>
    <s v="TAXREV"/>
    <s v="PC_GDP"/>
    <s v="A"/>
    <x v="3"/>
    <n v="37.543999999999997"/>
  </r>
  <r>
    <x v="9"/>
    <s v="TAXREV"/>
    <s v="PC_GDP"/>
    <s v="A"/>
    <x v="0"/>
    <n v="35.744999999999997"/>
  </r>
  <r>
    <x v="9"/>
    <s v="TAXREV"/>
    <s v="PC_GDP"/>
    <s v="A"/>
    <x v="1"/>
    <n v="36.584000000000003"/>
  </r>
  <r>
    <x v="9"/>
    <s v="TAXREV"/>
    <s v="PC_GDP"/>
    <s v="A"/>
    <x v="2"/>
    <n v="38.841999999999999"/>
  </r>
  <r>
    <x v="9"/>
    <s v="TAXREV"/>
    <s v="PC_GDP"/>
    <s v="A"/>
    <x v="3"/>
    <n v="39.386000000000003"/>
  </r>
  <r>
    <x v="10"/>
    <s v="TAXREV"/>
    <s v="PC_GDP"/>
    <s v="A"/>
    <x v="0"/>
    <n v="37.984999999999999"/>
  </r>
  <r>
    <x v="10"/>
    <s v="TAXREV"/>
    <s v="PC_GDP"/>
    <s v="A"/>
    <x v="1"/>
    <n v="38.709000000000003"/>
  </r>
  <r>
    <x v="10"/>
    <s v="TAXREV"/>
    <s v="PC_GDP"/>
    <s v="A"/>
    <x v="2"/>
    <n v="39.207999999999998"/>
  </r>
  <r>
    <x v="10"/>
    <s v="TAXREV"/>
    <s v="PC_GDP"/>
    <s v="A"/>
    <x v="3"/>
    <n v="37.71"/>
  </r>
  <r>
    <x v="11"/>
    <s v="TAXREV"/>
    <s v="PC_GDP"/>
    <s v="A"/>
    <x v="0"/>
    <n v="38.319000000000003"/>
  </r>
  <r>
    <x v="11"/>
    <s v="TAXREV"/>
    <s v="PC_GDP"/>
    <s v="A"/>
    <x v="1"/>
    <n v="36.331000000000003"/>
  </r>
  <r>
    <x v="11"/>
    <s v="TAXREV"/>
    <s v="PC_GDP"/>
    <s v="A"/>
    <x v="2"/>
    <n v="51.594999999999999"/>
  </r>
  <r>
    <x v="11"/>
    <s v="TAXREV"/>
    <s v="PC_GDP"/>
    <s v="A"/>
    <x v="3"/>
    <n v="37.686999999999998"/>
  </r>
  <r>
    <x v="12"/>
    <s v="TAXREV"/>
    <s v="PC_GDP"/>
    <s v="A"/>
    <x v="0"/>
    <n v="28.413"/>
  </r>
  <r>
    <x v="12"/>
    <s v="TAXREV"/>
    <s v="PC_GDP"/>
    <s v="A"/>
    <x v="1"/>
    <n v="23.106000000000002"/>
  </r>
  <r>
    <x v="12"/>
    <s v="TAXREV"/>
    <s v="PC_GDP"/>
    <s v="A"/>
    <x v="2"/>
    <n v="23.327999999999999"/>
  </r>
  <r>
    <x v="12"/>
    <s v="TAXREV"/>
    <s v="PC_GDP"/>
    <s v="A"/>
    <x v="3"/>
    <n v="22.837"/>
  </r>
  <r>
    <x v="13"/>
    <s v="TAXREV"/>
    <s v="PC_GDP"/>
    <s v="A"/>
    <x v="0"/>
    <n v="43.473999999999997"/>
  </r>
  <r>
    <x v="13"/>
    <s v="TAXREV"/>
    <s v="PC_GDP"/>
    <s v="A"/>
    <x v="1"/>
    <n v="43.112000000000002"/>
  </r>
  <r>
    <x v="13"/>
    <s v="TAXREV"/>
    <s v="PC_GDP"/>
    <s v="A"/>
    <x v="2"/>
    <n v="42.609000000000002"/>
  </r>
  <r>
    <x v="13"/>
    <s v="TAXREV"/>
    <s v="PC_GDP"/>
    <s v="A"/>
    <x v="3"/>
    <n v="42.384999999999998"/>
  </r>
  <r>
    <x v="14"/>
    <s v="TAXREV"/>
    <s v="PC_GDP"/>
    <s v="A"/>
    <x v="0"/>
    <n v="30.26"/>
  </r>
  <r>
    <x v="14"/>
    <s v="TAXREV"/>
    <s v="PC_GDP"/>
    <s v="A"/>
    <x v="1"/>
    <n v="30.63"/>
  </r>
  <r>
    <x v="14"/>
    <s v="TAXREV"/>
    <s v="PC_GDP"/>
    <s v="A"/>
    <x v="2"/>
    <n v="30.584"/>
  </r>
  <r>
    <x v="15"/>
    <s v="TAXREV"/>
    <s v="PC_GDP"/>
    <s v="A"/>
    <x v="0"/>
    <n v="24.59"/>
  </r>
  <r>
    <x v="15"/>
    <s v="TAXREV"/>
    <s v="PC_GDP"/>
    <s v="A"/>
    <x v="1"/>
    <n v="25.161999999999999"/>
  </r>
  <r>
    <x v="15"/>
    <s v="TAXREV"/>
    <s v="PC_GDP"/>
    <s v="A"/>
    <x v="2"/>
    <n v="26.236999999999998"/>
  </r>
  <r>
    <x v="15"/>
    <s v="TAXREV"/>
    <s v="PC_GDP"/>
    <s v="A"/>
    <x v="3"/>
    <n v="26.9"/>
  </r>
  <r>
    <x v="16"/>
    <s v="TAXREV"/>
    <s v="PC_GDP"/>
    <s v="A"/>
    <x v="0"/>
    <n v="37.445999999999998"/>
  </r>
  <r>
    <x v="16"/>
    <s v="TAXREV"/>
    <s v="PC_GDP"/>
    <s v="A"/>
    <x v="1"/>
    <n v="37.091999999999999"/>
  </r>
  <r>
    <x v="16"/>
    <s v="TAXREV"/>
    <s v="PC_GDP"/>
    <s v="A"/>
    <x v="2"/>
    <n v="38.146000000000001"/>
  </r>
  <r>
    <x v="16"/>
    <s v="TAXREV"/>
    <s v="PC_GDP"/>
    <s v="A"/>
    <x v="3"/>
    <n v="38.654000000000003"/>
  </r>
  <r>
    <x v="17"/>
    <s v="TAXREV"/>
    <s v="PC_GDP"/>
    <s v="A"/>
    <x v="0"/>
    <n v="13.704000000000001"/>
  </r>
  <r>
    <x v="17"/>
    <s v="TAXREV"/>
    <s v="PC_GDP"/>
    <s v="A"/>
    <x v="1"/>
    <n v="15.933"/>
  </r>
  <r>
    <x v="17"/>
    <s v="TAXREV"/>
    <s v="PC_GDP"/>
    <s v="A"/>
    <x v="2"/>
    <n v="16.634"/>
  </r>
  <r>
    <x v="17"/>
    <s v="TAXREV"/>
    <s v="PC_GDP"/>
    <s v="A"/>
    <x v="3"/>
    <n v="16.173999999999999"/>
  </r>
  <r>
    <x v="18"/>
    <s v="TAXREV"/>
    <s v="PC_GDP"/>
    <s v="A"/>
    <x v="0"/>
    <n v="37.046999999999997"/>
  </r>
  <r>
    <x v="18"/>
    <s v="TAXREV"/>
    <s v="PC_GDP"/>
    <s v="A"/>
    <x v="1"/>
    <n v="37.006999999999998"/>
  </r>
  <r>
    <x v="18"/>
    <s v="TAXREV"/>
    <s v="PC_GDP"/>
    <s v="A"/>
    <x v="2"/>
    <n v="38.401000000000003"/>
  </r>
  <r>
    <x v="18"/>
    <s v="TAXREV"/>
    <s v="PC_GDP"/>
    <s v="A"/>
    <x v="3"/>
    <n v="38.752000000000002"/>
  </r>
  <r>
    <x v="19"/>
    <s v="TAXREV"/>
    <s v="PC_GDP"/>
    <s v="A"/>
    <x v="0"/>
    <n v="31.222999999999999"/>
  </r>
  <r>
    <x v="19"/>
    <s v="TAXREV"/>
    <s v="PC_GDP"/>
    <s v="A"/>
    <x v="1"/>
    <n v="31.568999999999999"/>
  </r>
  <r>
    <x v="19"/>
    <s v="TAXREV"/>
    <s v="PC_GDP"/>
    <s v="A"/>
    <x v="2"/>
    <n v="31.574000000000002"/>
  </r>
  <r>
    <x v="19"/>
    <s v="TAXREV"/>
    <s v="PC_GDP"/>
    <s v="A"/>
    <x v="3"/>
    <n v="31.98"/>
  </r>
  <r>
    <x v="20"/>
    <s v="TAXREV"/>
    <s v="PC_GDP"/>
    <s v="A"/>
    <x v="0"/>
    <n v="38.792000000000002"/>
  </r>
  <r>
    <x v="20"/>
    <s v="TAXREV"/>
    <s v="PC_GDP"/>
    <s v="A"/>
    <x v="1"/>
    <n v="38.427999999999997"/>
  </r>
  <r>
    <x v="20"/>
    <s v="TAXREV"/>
    <s v="PC_GDP"/>
    <s v="A"/>
    <x v="2"/>
    <n v="38.698999999999998"/>
  </r>
  <r>
    <x v="20"/>
    <s v="TAXREV"/>
    <s v="PC_GDP"/>
    <s v="A"/>
    <x v="3"/>
    <n v="38.228000000000002"/>
  </r>
  <r>
    <x v="21"/>
    <s v="TAXREV"/>
    <s v="PC_GDP"/>
    <s v="A"/>
    <x v="0"/>
    <n v="31.876000000000001"/>
  </r>
  <r>
    <x v="21"/>
    <s v="TAXREV"/>
    <s v="PC_GDP"/>
    <s v="A"/>
    <x v="1"/>
    <n v="32.366999999999997"/>
  </r>
  <r>
    <x v="21"/>
    <s v="TAXREV"/>
    <s v="PC_GDP"/>
    <s v="A"/>
    <x v="2"/>
    <n v="33.393999999999998"/>
  </r>
  <r>
    <x v="21"/>
    <s v="TAXREV"/>
    <s v="PC_GDP"/>
    <s v="A"/>
    <x v="3"/>
    <n v="33.9"/>
  </r>
  <r>
    <x v="22"/>
    <s v="TAXREV"/>
    <s v="PC_GDP"/>
    <s v="A"/>
    <x v="0"/>
    <n v="34.255000000000003"/>
  </r>
  <r>
    <x v="22"/>
    <s v="TAXREV"/>
    <s v="PC_GDP"/>
    <s v="A"/>
    <x v="1"/>
    <n v="34.447000000000003"/>
  </r>
  <r>
    <x v="22"/>
    <s v="TAXREV"/>
    <s v="PC_GDP"/>
    <s v="A"/>
    <x v="2"/>
    <n v="34.323"/>
  </r>
  <r>
    <x v="22"/>
    <s v="TAXREV"/>
    <s v="PC_GDP"/>
    <s v="A"/>
    <x v="3"/>
    <n v="34.707999999999998"/>
  </r>
  <r>
    <x v="23"/>
    <s v="TAXREV"/>
    <s v="PC_GDP"/>
    <s v="A"/>
    <x v="0"/>
    <n v="31.123000000000001"/>
  </r>
  <r>
    <x v="23"/>
    <s v="TAXREV"/>
    <s v="PC_GDP"/>
    <s v="A"/>
    <x v="1"/>
    <n v="32.179000000000002"/>
  </r>
  <r>
    <x v="23"/>
    <s v="TAXREV"/>
    <s v="PC_GDP"/>
    <s v="A"/>
    <x v="2"/>
    <n v="32.384999999999998"/>
  </r>
  <r>
    <x v="23"/>
    <s v="TAXREV"/>
    <s v="PC_GDP"/>
    <s v="A"/>
    <x v="3"/>
    <n v="32.9"/>
  </r>
  <r>
    <x v="24"/>
    <s v="TAXREV"/>
    <s v="PC_GDP"/>
    <s v="A"/>
    <x v="0"/>
    <n v="33.593000000000004"/>
  </r>
  <r>
    <x v="24"/>
    <s v="TAXREV"/>
    <s v="PC_GDP"/>
    <s v="A"/>
    <x v="1"/>
    <n v="33.593000000000004"/>
  </r>
  <r>
    <x v="24"/>
    <s v="TAXREV"/>
    <s v="PC_GDP"/>
    <s v="A"/>
    <x v="2"/>
    <n v="33.186999999999998"/>
  </r>
  <r>
    <x v="24"/>
    <s v="TAXREV"/>
    <s v="PC_GDP"/>
    <s v="A"/>
    <x v="3"/>
    <n v="33.658000000000001"/>
  </r>
  <r>
    <x v="25"/>
    <s v="TAXREV"/>
    <s v="PC_GDP"/>
    <s v="A"/>
    <x v="0"/>
    <n v="42.585000000000001"/>
  </r>
  <r>
    <x v="25"/>
    <s v="TAXREV"/>
    <s v="PC_GDP"/>
    <s v="A"/>
    <x v="1"/>
    <n v="43.081000000000003"/>
  </r>
  <r>
    <x v="25"/>
    <s v="TAXREV"/>
    <s v="PC_GDP"/>
    <s v="A"/>
    <x v="2"/>
    <n v="44.043999999999997"/>
  </r>
  <r>
    <x v="25"/>
    <s v="TAXREV"/>
    <s v="PC_GDP"/>
    <s v="A"/>
    <x v="3"/>
    <n v="43.956000000000003"/>
  </r>
  <r>
    <x v="26"/>
    <s v="TAXREV"/>
    <s v="PC_GDP"/>
    <s v="A"/>
    <x v="0"/>
    <n v="26.882000000000001"/>
  </r>
  <r>
    <x v="26"/>
    <s v="TAXREV"/>
    <s v="PC_GDP"/>
    <s v="A"/>
    <x v="1"/>
    <n v="27.594999999999999"/>
  </r>
  <r>
    <x v="26"/>
    <s v="TAXREV"/>
    <s v="PC_GDP"/>
    <s v="A"/>
    <x v="2"/>
    <n v="27.763000000000002"/>
  </r>
  <r>
    <x v="26"/>
    <s v="TAXREV"/>
    <s v="PC_GDP"/>
    <s v="A"/>
    <x v="3"/>
    <n v="28.456"/>
  </r>
  <r>
    <x v="27"/>
    <s v="TAXREV"/>
    <s v="PC_GDP"/>
    <s v="A"/>
    <x v="0"/>
    <n v="24.582000000000001"/>
  </r>
  <r>
    <x v="27"/>
    <s v="TAXREV"/>
    <s v="PC_GDP"/>
    <s v="A"/>
    <x v="1"/>
    <n v="25.088000000000001"/>
  </r>
  <r>
    <x v="27"/>
    <s v="TAXREV"/>
    <s v="PC_GDP"/>
    <s v="A"/>
    <x v="2"/>
    <n v="25.302"/>
  </r>
  <r>
    <x v="27"/>
    <s v="TAXREV"/>
    <s v="PC_GDP"/>
    <s v="A"/>
    <x v="3"/>
    <n v="24.890999999999998"/>
  </r>
  <r>
    <x v="28"/>
    <s v="TAXREV"/>
    <s v="PC_GDP"/>
    <s v="A"/>
    <x v="0"/>
    <n v="31.824999999999999"/>
  </r>
  <r>
    <x v="28"/>
    <s v="TAXREV"/>
    <s v="PC_GDP"/>
    <s v="A"/>
    <x v="1"/>
    <n v="32.155999999999999"/>
  </r>
  <r>
    <x v="28"/>
    <s v="TAXREV"/>
    <s v="PC_GDP"/>
    <s v="A"/>
    <x v="2"/>
    <n v="32.734000000000002"/>
  </r>
  <r>
    <x v="28"/>
    <s v="TAXREV"/>
    <s v="PC_GDP"/>
    <s v="A"/>
    <x v="3"/>
    <n v="33.258000000000003"/>
  </r>
  <r>
    <x v="29"/>
    <s v="TAXREV"/>
    <s v="PC_GDP"/>
    <s v="A"/>
    <x v="0"/>
    <n v="25.975000000000001"/>
  </r>
  <r>
    <x v="29"/>
    <s v="TAXREV"/>
    <s v="PC_GDP"/>
    <s v="A"/>
    <x v="1"/>
    <n v="26.234999999999999"/>
  </r>
  <r>
    <x v="29"/>
    <s v="TAXREV"/>
    <s v="PC_GDP"/>
    <s v="A"/>
    <x v="2"/>
    <n v="25.888000000000002"/>
  </r>
  <r>
    <x v="29"/>
    <s v="TAXREV"/>
    <s v="PC_GDP"/>
    <s v="A"/>
    <x v="3"/>
    <n v="27.143000000000001"/>
  </r>
  <r>
    <x v="30"/>
    <s v="TAXREV"/>
    <s v="PC_GDP"/>
    <s v="A"/>
    <x v="0"/>
    <n v="19.61"/>
  </r>
  <r>
    <x v="30"/>
    <s v="TAXREV"/>
    <s v="PC_GDP"/>
    <s v="A"/>
    <x v="1"/>
    <n v="20.382999999999999"/>
  </r>
  <r>
    <x v="30"/>
    <s v="TAXREV"/>
    <s v="PC_GDP"/>
    <s v="A"/>
    <x v="2"/>
    <n v="20.163"/>
  </r>
  <r>
    <x v="30"/>
    <s v="TAXREV"/>
    <s v="PC_GDP"/>
    <s v="A"/>
    <x v="3"/>
    <n v="20.158000000000001"/>
  </r>
  <r>
    <x v="31"/>
    <s v="TAXREV"/>
    <s v="PC_GDP"/>
    <s v="A"/>
    <x v="0"/>
    <n v="32.267000000000003"/>
  </r>
  <r>
    <x v="31"/>
    <s v="TAXREV"/>
    <s v="PC_GDP"/>
    <s v="A"/>
    <x v="1"/>
    <n v="33.307000000000002"/>
  </r>
  <r>
    <x v="31"/>
    <s v="TAXREV"/>
    <s v="PC_GDP"/>
    <s v="A"/>
    <x v="2"/>
    <n v="33.731000000000002"/>
  </r>
  <r>
    <x v="31"/>
    <s v="TAXREV"/>
    <s v="PC_GDP"/>
    <s v="A"/>
    <x v="3"/>
    <n v="32.966999999999999"/>
  </r>
  <r>
    <x v="32"/>
    <s v="TAXREV"/>
    <s v="PC_GDP"/>
    <s v="A"/>
    <x v="0"/>
    <n v="31.152000000000001"/>
  </r>
  <r>
    <x v="32"/>
    <s v="TAXREV"/>
    <s v="PC_GDP"/>
    <s v="A"/>
    <x v="1"/>
    <n v="31.311"/>
  </r>
  <r>
    <x v="32"/>
    <s v="TAXREV"/>
    <s v="PC_GDP"/>
    <s v="A"/>
    <x v="2"/>
    <n v="31.289000000000001"/>
  </r>
  <r>
    <x v="32"/>
    <s v="TAXREV"/>
    <s v="PC_GDP"/>
    <s v="A"/>
    <x v="3"/>
    <n v="32.731000000000002"/>
  </r>
  <r>
    <x v="33"/>
    <s v="TAXREV"/>
    <s v="PC_GDP"/>
    <s v="A"/>
    <x v="0"/>
    <n v="36.189"/>
  </r>
  <r>
    <x v="33"/>
    <s v="TAXREV"/>
    <s v="PC_GDP"/>
    <s v="A"/>
    <x v="1"/>
    <n v="36.353000000000002"/>
  </r>
  <r>
    <x v="33"/>
    <s v="TAXREV"/>
    <s v="PC_GDP"/>
    <s v="A"/>
    <x v="2"/>
    <n v="36.450000000000003"/>
  </r>
  <r>
    <x v="33"/>
    <s v="TAXREV"/>
    <s v="PC_GDP"/>
    <s v="A"/>
    <x v="3"/>
    <n v="36.021000000000001"/>
  </r>
  <r>
    <x v="34"/>
    <s v="TAXREV"/>
    <s v="PC_GDP"/>
    <s v="A"/>
    <x v="0"/>
    <n v="28.975000000000001"/>
  </r>
  <r>
    <x v="34"/>
    <s v="TAXREV"/>
    <s v="PC_GDP"/>
    <s v="A"/>
    <x v="1"/>
    <n v="29.221"/>
  </r>
  <r>
    <x v="34"/>
    <s v="TAXREV"/>
    <s v="PC_GDP"/>
    <s v="A"/>
    <x v="2"/>
    <n v="30.370999999999999"/>
  </r>
  <r>
    <x v="34"/>
    <s v="TAXREV"/>
    <s v="PC_GDP"/>
    <s v="A"/>
    <x v="3"/>
    <n v="30.4029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40" firstHeaderRow="1" firstDataRow="2" firstDataCol="1"/>
  <pivotFields count="6">
    <pivotField axis="axisRow" showAll="0">
      <items count="36">
        <item x="0"/>
        <item x="1"/>
        <item x="2"/>
        <item x="3"/>
        <item x="30"/>
        <item x="4"/>
        <item x="5"/>
        <item x="31"/>
        <item x="6"/>
        <item x="7"/>
        <item x="8"/>
        <item x="9"/>
        <item x="10"/>
        <item x="11"/>
        <item x="12"/>
        <item x="32"/>
        <item x="13"/>
        <item x="14"/>
        <item x="15"/>
        <item x="34"/>
        <item x="16"/>
        <item x="17"/>
        <item x="18"/>
        <item x="19"/>
        <item x="20"/>
        <item x="21"/>
        <item x="22"/>
        <item x="23"/>
        <item x="33"/>
        <item x="24"/>
        <item x="25"/>
        <item x="26"/>
        <item x="27"/>
        <item x="28"/>
        <item x="29"/>
        <item t="default"/>
      </items>
    </pivotField>
    <pivotField showAll="0"/>
    <pivotField showAll="0"/>
    <pivotField showAll="0"/>
    <pivotField axis="axisCol" showAll="0">
      <items count="5">
        <item x="0"/>
        <item x="1"/>
        <item x="2"/>
        <item x="3"/>
        <item t="default"/>
      </items>
    </pivotField>
    <pivotField dataField="1" showAll="0"/>
  </pivotFields>
  <rowFields count="1">
    <field x="0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1">
    <dataField name="Sum of Value" fld="5" baseField="0" baseItem="0"/>
  </dataFields>
  <chartFormats count="4">
    <chartFormat chart="0" format="2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" count="1" selected="0">
            <x v="2"/>
          </reference>
        </references>
      </pivotArea>
    </chartFormat>
    <chartFormat chart="0" format="5" series="1">
      <pivotArea type="data" outline="0" fieldPosition="0">
        <references count="1"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F40"/>
  <sheetViews>
    <sheetView workbookViewId="0">
      <selection activeCell="A5" sqref="A5:E39"/>
    </sheetView>
  </sheetViews>
  <sheetFormatPr defaultRowHeight="14.4" x14ac:dyDescent="0.3"/>
  <cols>
    <col min="1" max="1" width="14" bestFit="1" customWidth="1"/>
    <col min="2" max="2" width="15.5546875" bestFit="1" customWidth="1"/>
    <col min="3" max="5" width="9" bestFit="1" customWidth="1"/>
    <col min="6" max="6" width="10.77734375" bestFit="1" customWidth="1"/>
  </cols>
  <sheetData>
    <row r="3" spans="1:6" x14ac:dyDescent="0.3">
      <c r="A3" s="1" t="s">
        <v>135</v>
      </c>
      <c r="B3" s="1" t="s">
        <v>136</v>
      </c>
    </row>
    <row r="4" spans="1:6" x14ac:dyDescent="0.3">
      <c r="A4" s="1" t="s">
        <v>133</v>
      </c>
      <c r="B4">
        <v>2014</v>
      </c>
      <c r="C4">
        <v>2015</v>
      </c>
      <c r="D4">
        <v>2016</v>
      </c>
      <c r="E4">
        <v>2017</v>
      </c>
      <c r="F4" t="s">
        <v>134</v>
      </c>
    </row>
    <row r="5" spans="1:6" x14ac:dyDescent="0.3">
      <c r="A5" s="2" t="s">
        <v>7</v>
      </c>
      <c r="B5" s="3">
        <v>27.324999999999999</v>
      </c>
      <c r="C5" s="3">
        <v>27.919</v>
      </c>
      <c r="D5" s="3">
        <v>27.757999999999999</v>
      </c>
      <c r="E5" s="3"/>
      <c r="F5" s="3">
        <v>83.001999999999995</v>
      </c>
    </row>
    <row r="6" spans="1:6" x14ac:dyDescent="0.3">
      <c r="A6" s="2" t="s">
        <v>8</v>
      </c>
      <c r="B6" s="3">
        <v>42.71</v>
      </c>
      <c r="C6" s="3">
        <v>43.097999999999999</v>
      </c>
      <c r="D6" s="3">
        <v>42.232999999999997</v>
      </c>
      <c r="E6" s="3">
        <v>41.774000000000001</v>
      </c>
      <c r="F6" s="3">
        <v>169.815</v>
      </c>
    </row>
    <row r="7" spans="1:6" x14ac:dyDescent="0.3">
      <c r="A7" s="2" t="s">
        <v>11</v>
      </c>
      <c r="B7" s="3">
        <v>45.073</v>
      </c>
      <c r="C7" s="3">
        <v>44.813000000000002</v>
      </c>
      <c r="D7" s="3">
        <v>44.081000000000003</v>
      </c>
      <c r="E7" s="3">
        <v>44.597999999999999</v>
      </c>
      <c r="F7" s="3">
        <v>178.565</v>
      </c>
    </row>
    <row r="8" spans="1:6" x14ac:dyDescent="0.3">
      <c r="A8" s="2" t="s">
        <v>23</v>
      </c>
      <c r="B8" s="3">
        <v>31.34</v>
      </c>
      <c r="C8" s="3">
        <v>32.677999999999997</v>
      </c>
      <c r="D8" s="3">
        <v>32.713000000000001</v>
      </c>
      <c r="E8" s="3">
        <v>32.241</v>
      </c>
      <c r="F8" s="3">
        <v>128.97199999999998</v>
      </c>
    </row>
    <row r="9" spans="1:6" x14ac:dyDescent="0.3">
      <c r="A9" s="2" t="s">
        <v>25</v>
      </c>
      <c r="B9" s="3">
        <v>19.61</v>
      </c>
      <c r="C9" s="3">
        <v>20.382999999999999</v>
      </c>
      <c r="D9" s="3">
        <v>20.163</v>
      </c>
      <c r="E9" s="3">
        <v>20.158000000000001</v>
      </c>
      <c r="F9" s="3">
        <v>80.313999999999993</v>
      </c>
    </row>
    <row r="10" spans="1:6" x14ac:dyDescent="0.3">
      <c r="A10" s="2" t="s">
        <v>31</v>
      </c>
      <c r="B10" s="3">
        <v>33.094999999999999</v>
      </c>
      <c r="C10" s="3">
        <v>33.347000000000001</v>
      </c>
      <c r="D10" s="3">
        <v>34.237000000000002</v>
      </c>
      <c r="E10" s="3">
        <v>34.893000000000001</v>
      </c>
      <c r="F10" s="3">
        <v>135.572</v>
      </c>
    </row>
    <row r="11" spans="1:6" x14ac:dyDescent="0.3">
      <c r="A11" s="2" t="s">
        <v>33</v>
      </c>
      <c r="B11" s="3">
        <v>48.530999999999999</v>
      </c>
      <c r="C11" s="3">
        <v>46.131999999999998</v>
      </c>
      <c r="D11" s="3">
        <v>46.189</v>
      </c>
      <c r="E11" s="3">
        <v>45.981999999999999</v>
      </c>
      <c r="F11" s="3">
        <v>186.834</v>
      </c>
    </row>
    <row r="12" spans="1:6" x14ac:dyDescent="0.3">
      <c r="A12" s="2" t="s">
        <v>38</v>
      </c>
      <c r="B12" s="3">
        <v>32.267000000000003</v>
      </c>
      <c r="C12" s="3">
        <v>33.307000000000002</v>
      </c>
      <c r="D12" s="3">
        <v>33.731000000000002</v>
      </c>
      <c r="E12" s="3">
        <v>32.966999999999999</v>
      </c>
      <c r="F12" s="3">
        <v>132.27199999999999</v>
      </c>
    </row>
    <row r="13" spans="1:6" x14ac:dyDescent="0.3">
      <c r="A13" s="2" t="s">
        <v>40</v>
      </c>
      <c r="B13" s="3">
        <v>43.814</v>
      </c>
      <c r="C13" s="3">
        <v>43.927999999999997</v>
      </c>
      <c r="D13" s="3">
        <v>44.017000000000003</v>
      </c>
      <c r="E13" s="3">
        <v>43.34</v>
      </c>
      <c r="F13" s="3">
        <v>175.09899999999999</v>
      </c>
    </row>
    <row r="14" spans="1:6" x14ac:dyDescent="0.3">
      <c r="A14" s="2" t="s">
        <v>41</v>
      </c>
      <c r="B14" s="3">
        <v>45.448999999999998</v>
      </c>
      <c r="C14" s="3">
        <v>45.280999999999999</v>
      </c>
      <c r="D14" s="3">
        <v>45.460999999999999</v>
      </c>
      <c r="E14" s="3">
        <v>46.231000000000002</v>
      </c>
      <c r="F14" s="3">
        <v>182.42199999999997</v>
      </c>
    </row>
    <row r="15" spans="1:6" x14ac:dyDescent="0.3">
      <c r="A15" s="2" t="s">
        <v>32</v>
      </c>
      <c r="B15" s="3">
        <v>36.703000000000003</v>
      </c>
      <c r="C15" s="3">
        <v>36.991999999999997</v>
      </c>
      <c r="D15" s="3">
        <v>37.430999999999997</v>
      </c>
      <c r="E15" s="3">
        <v>37.543999999999997</v>
      </c>
      <c r="F15" s="3">
        <v>148.66999999999999</v>
      </c>
    </row>
    <row r="16" spans="1:6" x14ac:dyDescent="0.3">
      <c r="A16" s="2" t="s">
        <v>47</v>
      </c>
      <c r="B16" s="3">
        <v>35.744999999999997</v>
      </c>
      <c r="C16" s="3">
        <v>36.584000000000003</v>
      </c>
      <c r="D16" s="3">
        <v>38.841999999999999</v>
      </c>
      <c r="E16" s="3">
        <v>39.386000000000003</v>
      </c>
      <c r="F16" s="3">
        <v>150.55700000000002</v>
      </c>
    </row>
    <row r="17" spans="1:6" x14ac:dyDescent="0.3">
      <c r="A17" s="2" t="s">
        <v>52</v>
      </c>
      <c r="B17" s="3">
        <v>37.984999999999999</v>
      </c>
      <c r="C17" s="3">
        <v>38.709000000000003</v>
      </c>
      <c r="D17" s="3">
        <v>39.207999999999998</v>
      </c>
      <c r="E17" s="3">
        <v>37.71</v>
      </c>
      <c r="F17" s="3">
        <v>153.61199999999999</v>
      </c>
    </row>
    <row r="18" spans="1:6" x14ac:dyDescent="0.3">
      <c r="A18" s="2" t="s">
        <v>57</v>
      </c>
      <c r="B18" s="3">
        <v>38.319000000000003</v>
      </c>
      <c r="C18" s="3">
        <v>36.331000000000003</v>
      </c>
      <c r="D18" s="3">
        <v>51.594999999999999</v>
      </c>
      <c r="E18" s="3">
        <v>37.686999999999998</v>
      </c>
      <c r="F18" s="3">
        <v>163.93200000000002</v>
      </c>
    </row>
    <row r="19" spans="1:6" x14ac:dyDescent="0.3">
      <c r="A19" s="2" t="s">
        <v>55</v>
      </c>
      <c r="B19" s="3">
        <v>28.413</v>
      </c>
      <c r="C19" s="3">
        <v>23.106000000000002</v>
      </c>
      <c r="D19" s="3">
        <v>23.327999999999999</v>
      </c>
      <c r="E19" s="3">
        <v>22.837</v>
      </c>
      <c r="F19" s="3">
        <v>97.684000000000012</v>
      </c>
    </row>
    <row r="20" spans="1:6" x14ac:dyDescent="0.3">
      <c r="A20" s="2" t="s">
        <v>58</v>
      </c>
      <c r="B20" s="3">
        <v>31.152000000000001</v>
      </c>
      <c r="C20" s="3">
        <v>31.311</v>
      </c>
      <c r="D20" s="3">
        <v>31.289000000000001</v>
      </c>
      <c r="E20" s="3">
        <v>32.731000000000002</v>
      </c>
      <c r="F20" s="3">
        <v>126.483</v>
      </c>
    </row>
    <row r="21" spans="1:6" x14ac:dyDescent="0.3">
      <c r="A21" s="2" t="s">
        <v>59</v>
      </c>
      <c r="B21" s="3">
        <v>43.473999999999997</v>
      </c>
      <c r="C21" s="3">
        <v>43.112000000000002</v>
      </c>
      <c r="D21" s="3">
        <v>42.609000000000002</v>
      </c>
      <c r="E21" s="3">
        <v>42.384999999999998</v>
      </c>
      <c r="F21" s="3">
        <v>171.57999999999998</v>
      </c>
    </row>
    <row r="22" spans="1:6" x14ac:dyDescent="0.3">
      <c r="A22" s="2" t="s">
        <v>62</v>
      </c>
      <c r="B22" s="3">
        <v>30.26</v>
      </c>
      <c r="C22" s="3">
        <v>30.63</v>
      </c>
      <c r="D22" s="3">
        <v>30.584</v>
      </c>
      <c r="E22" s="3"/>
      <c r="F22" s="3">
        <v>91.474000000000004</v>
      </c>
    </row>
    <row r="23" spans="1:6" x14ac:dyDescent="0.3">
      <c r="A23" s="2" t="s">
        <v>66</v>
      </c>
      <c r="B23" s="3">
        <v>24.59</v>
      </c>
      <c r="C23" s="3">
        <v>25.161999999999999</v>
      </c>
      <c r="D23" s="3">
        <v>26.236999999999998</v>
      </c>
      <c r="E23" s="3">
        <v>26.9</v>
      </c>
      <c r="F23" s="3">
        <v>102.88899999999998</v>
      </c>
    </row>
    <row r="24" spans="1:6" x14ac:dyDescent="0.3">
      <c r="A24" s="2" t="s">
        <v>74</v>
      </c>
      <c r="B24" s="3">
        <v>28.975000000000001</v>
      </c>
      <c r="C24" s="3">
        <v>29.221</v>
      </c>
      <c r="D24" s="3">
        <v>30.370999999999999</v>
      </c>
      <c r="E24" s="3">
        <v>30.402999999999999</v>
      </c>
      <c r="F24" s="3">
        <v>118.97</v>
      </c>
    </row>
    <row r="25" spans="1:6" x14ac:dyDescent="0.3">
      <c r="A25" s="2" t="s">
        <v>73</v>
      </c>
      <c r="B25" s="3">
        <v>37.445999999999998</v>
      </c>
      <c r="C25" s="3">
        <v>37.091999999999999</v>
      </c>
      <c r="D25" s="3">
        <v>38.146000000000001</v>
      </c>
      <c r="E25" s="3">
        <v>38.654000000000003</v>
      </c>
      <c r="F25" s="3">
        <v>151.33799999999999</v>
      </c>
    </row>
    <row r="26" spans="1:6" x14ac:dyDescent="0.3">
      <c r="A26" s="2" t="s">
        <v>78</v>
      </c>
      <c r="B26" s="3">
        <v>13.704000000000001</v>
      </c>
      <c r="C26" s="3">
        <v>15.933</v>
      </c>
      <c r="D26" s="3">
        <v>16.634</v>
      </c>
      <c r="E26" s="3">
        <v>16.173999999999999</v>
      </c>
      <c r="F26" s="3">
        <v>62.445</v>
      </c>
    </row>
    <row r="27" spans="1:6" x14ac:dyDescent="0.3">
      <c r="A27" s="2" t="s">
        <v>91</v>
      </c>
      <c r="B27" s="3">
        <v>37.046999999999997</v>
      </c>
      <c r="C27" s="3">
        <v>37.006999999999998</v>
      </c>
      <c r="D27" s="3">
        <v>38.401000000000003</v>
      </c>
      <c r="E27" s="3">
        <v>38.752000000000002</v>
      </c>
      <c r="F27" s="3">
        <v>151.20700000000002</v>
      </c>
    </row>
    <row r="28" spans="1:6" x14ac:dyDescent="0.3">
      <c r="A28" s="2" t="s">
        <v>94</v>
      </c>
      <c r="B28" s="3">
        <v>31.222999999999999</v>
      </c>
      <c r="C28" s="3">
        <v>31.568999999999999</v>
      </c>
      <c r="D28" s="3">
        <v>31.574000000000002</v>
      </c>
      <c r="E28" s="3">
        <v>31.98</v>
      </c>
      <c r="F28" s="3">
        <v>126.346</v>
      </c>
    </row>
    <row r="29" spans="1:6" x14ac:dyDescent="0.3">
      <c r="A29" s="2" t="s">
        <v>92</v>
      </c>
      <c r="B29" s="3">
        <v>38.792000000000002</v>
      </c>
      <c r="C29" s="3">
        <v>38.427999999999997</v>
      </c>
      <c r="D29" s="3">
        <v>38.698999999999998</v>
      </c>
      <c r="E29" s="3">
        <v>38.228000000000002</v>
      </c>
      <c r="F29" s="3">
        <v>154.14699999999999</v>
      </c>
    </row>
    <row r="30" spans="1:6" x14ac:dyDescent="0.3">
      <c r="A30" s="2" t="s">
        <v>99</v>
      </c>
      <c r="B30" s="3">
        <v>31.876000000000001</v>
      </c>
      <c r="C30" s="3">
        <v>32.366999999999997</v>
      </c>
      <c r="D30" s="3">
        <v>33.393999999999998</v>
      </c>
      <c r="E30" s="3">
        <v>33.9</v>
      </c>
      <c r="F30" s="3">
        <v>131.53700000000001</v>
      </c>
    </row>
    <row r="31" spans="1:6" x14ac:dyDescent="0.3">
      <c r="A31" s="2" t="s">
        <v>100</v>
      </c>
      <c r="B31" s="3">
        <v>34.255000000000003</v>
      </c>
      <c r="C31" s="3">
        <v>34.447000000000003</v>
      </c>
      <c r="D31" s="3">
        <v>34.323</v>
      </c>
      <c r="E31" s="3">
        <v>34.707999999999998</v>
      </c>
      <c r="F31" s="3">
        <v>137.733</v>
      </c>
    </row>
    <row r="32" spans="1:6" x14ac:dyDescent="0.3">
      <c r="A32" s="2" t="s">
        <v>112</v>
      </c>
      <c r="B32" s="3">
        <v>31.123000000000001</v>
      </c>
      <c r="C32" s="3">
        <v>32.179000000000002</v>
      </c>
      <c r="D32" s="3">
        <v>32.384999999999998</v>
      </c>
      <c r="E32" s="3">
        <v>32.9</v>
      </c>
      <c r="F32" s="3">
        <v>128.58700000000002</v>
      </c>
    </row>
    <row r="33" spans="1:6" x14ac:dyDescent="0.3">
      <c r="A33" s="2" t="s">
        <v>113</v>
      </c>
      <c r="B33" s="3">
        <v>36.189</v>
      </c>
      <c r="C33" s="3">
        <v>36.353000000000002</v>
      </c>
      <c r="D33" s="3">
        <v>36.450000000000003</v>
      </c>
      <c r="E33" s="3">
        <v>36.021000000000001</v>
      </c>
      <c r="F33" s="3">
        <v>145.01300000000001</v>
      </c>
    </row>
    <row r="34" spans="1:6" x14ac:dyDescent="0.3">
      <c r="A34" s="2" t="s">
        <v>37</v>
      </c>
      <c r="B34" s="3">
        <v>33.593000000000004</v>
      </c>
      <c r="C34" s="3">
        <v>33.593000000000004</v>
      </c>
      <c r="D34" s="3">
        <v>33.186999999999998</v>
      </c>
      <c r="E34" s="3">
        <v>33.658000000000001</v>
      </c>
      <c r="F34" s="3">
        <v>134.03100000000001</v>
      </c>
    </row>
    <row r="35" spans="1:6" x14ac:dyDescent="0.3">
      <c r="A35" s="2" t="s">
        <v>114</v>
      </c>
      <c r="B35" s="3">
        <v>42.585000000000001</v>
      </c>
      <c r="C35" s="3">
        <v>43.081000000000003</v>
      </c>
      <c r="D35" s="3">
        <v>44.043999999999997</v>
      </c>
      <c r="E35" s="3">
        <v>43.956000000000003</v>
      </c>
      <c r="F35" s="3">
        <v>173.666</v>
      </c>
    </row>
    <row r="36" spans="1:6" x14ac:dyDescent="0.3">
      <c r="A36" s="2" t="s">
        <v>24</v>
      </c>
      <c r="B36" s="3">
        <v>26.882000000000001</v>
      </c>
      <c r="C36" s="3">
        <v>27.594999999999999</v>
      </c>
      <c r="D36" s="3">
        <v>27.763000000000002</v>
      </c>
      <c r="E36" s="3">
        <v>28.456</v>
      </c>
      <c r="F36" s="3">
        <v>110.69600000000001</v>
      </c>
    </row>
    <row r="37" spans="1:6" x14ac:dyDescent="0.3">
      <c r="A37" s="2" t="s">
        <v>122</v>
      </c>
      <c r="B37" s="3">
        <v>24.582000000000001</v>
      </c>
      <c r="C37" s="3">
        <v>25.088000000000001</v>
      </c>
      <c r="D37" s="3">
        <v>25.302</v>
      </c>
      <c r="E37" s="3">
        <v>24.890999999999998</v>
      </c>
      <c r="F37" s="3">
        <v>99.863</v>
      </c>
    </row>
    <row r="38" spans="1:6" x14ac:dyDescent="0.3">
      <c r="A38" s="2" t="s">
        <v>43</v>
      </c>
      <c r="B38" s="3">
        <v>31.824999999999999</v>
      </c>
      <c r="C38" s="3">
        <v>32.155999999999999</v>
      </c>
      <c r="D38" s="3">
        <v>32.734000000000002</v>
      </c>
      <c r="E38" s="3">
        <v>33.258000000000003</v>
      </c>
      <c r="F38" s="3">
        <v>129.97300000000001</v>
      </c>
    </row>
    <row r="39" spans="1:6" x14ac:dyDescent="0.3">
      <c r="A39" s="2" t="s">
        <v>127</v>
      </c>
      <c r="B39" s="3">
        <v>25.975000000000001</v>
      </c>
      <c r="C39" s="3">
        <v>26.234999999999999</v>
      </c>
      <c r="D39" s="3">
        <v>25.888000000000002</v>
      </c>
      <c r="E39" s="3">
        <v>27.143000000000001</v>
      </c>
      <c r="F39" s="3">
        <v>105.241</v>
      </c>
    </row>
    <row r="40" spans="1:6" x14ac:dyDescent="0.3">
      <c r="A40" s="2" t="s">
        <v>134</v>
      </c>
      <c r="B40" s="3">
        <v>1181.9270000000004</v>
      </c>
      <c r="C40" s="3">
        <v>1185.1669999999997</v>
      </c>
      <c r="D40" s="3">
        <v>1211.0009999999995</v>
      </c>
      <c r="E40" s="3">
        <v>1142.4459999999997</v>
      </c>
      <c r="F40" s="3">
        <v>4720.5410000000011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39"/>
  <sheetViews>
    <sheetView tabSelected="1" topLeftCell="F109" workbookViewId="0">
      <selection activeCell="F2" sqref="F2:I139"/>
    </sheetView>
  </sheetViews>
  <sheetFormatPr defaultRowHeight="14.4" x14ac:dyDescent="0.3"/>
  <cols>
    <col min="6" max="6" width="20.5546875" bestFit="1" customWidth="1"/>
  </cols>
  <sheetData>
    <row r="1" spans="1:9" x14ac:dyDescent="0.3">
      <c r="A1" t="s">
        <v>0</v>
      </c>
      <c r="B1">
        <v>2015</v>
      </c>
      <c r="C1">
        <f>2016</f>
        <v>2016</v>
      </c>
      <c r="D1">
        <f>2017</f>
        <v>2017</v>
      </c>
      <c r="F1" t="s">
        <v>0</v>
      </c>
      <c r="G1" t="s">
        <v>145</v>
      </c>
      <c r="H1" t="s">
        <v>146</v>
      </c>
      <c r="I1" t="s">
        <v>147</v>
      </c>
    </row>
    <row r="2" spans="1:9" x14ac:dyDescent="0.3">
      <c r="A2" s="2" t="s">
        <v>7</v>
      </c>
      <c r="B2" s="3">
        <v>27.919</v>
      </c>
      <c r="C2" s="3">
        <v>27.757999999999999</v>
      </c>
      <c r="D2" s="3"/>
      <c r="F2" t="s">
        <v>24</v>
      </c>
      <c r="G2">
        <v>27.594999999999999</v>
      </c>
      <c r="H2">
        <v>27.763000000000002</v>
      </c>
      <c r="I2">
        <v>28.456</v>
      </c>
    </row>
    <row r="3" spans="1:9" x14ac:dyDescent="0.3">
      <c r="A3" s="2" t="s">
        <v>8</v>
      </c>
      <c r="B3" s="3">
        <v>43.097999999999999</v>
      </c>
      <c r="C3" s="3">
        <v>42.232999999999997</v>
      </c>
      <c r="D3" s="3">
        <v>41.774000000000001</v>
      </c>
      <c r="F3" t="s">
        <v>57</v>
      </c>
      <c r="G3">
        <v>36.331000000000003</v>
      </c>
      <c r="H3">
        <v>51.594999999999999</v>
      </c>
      <c r="I3">
        <v>37.686999999999998</v>
      </c>
    </row>
    <row r="4" spans="1:9" x14ac:dyDescent="0.3">
      <c r="A4" s="2" t="s">
        <v>11</v>
      </c>
      <c r="B4" s="3">
        <v>44.813000000000002</v>
      </c>
      <c r="C4" s="3">
        <v>44.081000000000003</v>
      </c>
      <c r="D4" s="3">
        <v>44.597999999999999</v>
      </c>
      <c r="F4" t="s">
        <v>33</v>
      </c>
      <c r="G4">
        <v>46.131999999999998</v>
      </c>
      <c r="H4">
        <v>46.189</v>
      </c>
      <c r="I4">
        <v>45.981999999999999</v>
      </c>
    </row>
    <row r="5" spans="1:9" x14ac:dyDescent="0.3">
      <c r="A5" s="2" t="s">
        <v>23</v>
      </c>
      <c r="B5" s="3">
        <v>32.677999999999997</v>
      </c>
      <c r="C5" s="3">
        <v>32.713000000000001</v>
      </c>
      <c r="D5" s="3">
        <v>32.241</v>
      </c>
      <c r="F5" t="s">
        <v>92</v>
      </c>
      <c r="G5">
        <v>38.427999999999997</v>
      </c>
      <c r="H5">
        <v>38.698999999999998</v>
      </c>
      <c r="I5">
        <v>38.228000000000002</v>
      </c>
    </row>
    <row r="6" spans="1:9" x14ac:dyDescent="0.3">
      <c r="A6" s="2" t="s">
        <v>25</v>
      </c>
      <c r="B6" s="3">
        <v>20.382999999999999</v>
      </c>
      <c r="C6" s="3">
        <v>20.163</v>
      </c>
      <c r="D6" s="3">
        <v>20.158000000000001</v>
      </c>
      <c r="F6" t="s">
        <v>23</v>
      </c>
      <c r="G6">
        <v>32.677999999999997</v>
      </c>
      <c r="H6">
        <v>32.713000000000001</v>
      </c>
      <c r="I6">
        <v>32.241</v>
      </c>
    </row>
    <row r="7" spans="1:9" x14ac:dyDescent="0.3">
      <c r="A7" s="2" t="s">
        <v>31</v>
      </c>
      <c r="B7" s="3">
        <v>33.347000000000001</v>
      </c>
      <c r="C7" s="3">
        <v>34.237000000000002</v>
      </c>
      <c r="D7" s="3">
        <v>34.893000000000001</v>
      </c>
      <c r="F7" t="s">
        <v>40</v>
      </c>
      <c r="G7">
        <v>43.927999999999997</v>
      </c>
      <c r="H7">
        <v>44.017000000000003</v>
      </c>
      <c r="I7">
        <v>43.34</v>
      </c>
    </row>
    <row r="8" spans="1:9" x14ac:dyDescent="0.3">
      <c r="A8" s="2" t="s">
        <v>33</v>
      </c>
      <c r="B8" s="3">
        <v>46.131999999999998</v>
      </c>
      <c r="C8" s="3">
        <v>46.189</v>
      </c>
      <c r="D8" s="3">
        <v>45.981999999999999</v>
      </c>
      <c r="F8" t="s">
        <v>91</v>
      </c>
      <c r="G8">
        <v>37.006999999999998</v>
      </c>
      <c r="H8">
        <v>38.401000000000003</v>
      </c>
      <c r="I8">
        <v>38.752000000000002</v>
      </c>
    </row>
    <row r="9" spans="1:9" x14ac:dyDescent="0.3">
      <c r="A9" s="2" t="s">
        <v>38</v>
      </c>
      <c r="B9" s="3">
        <v>33.307000000000002</v>
      </c>
      <c r="C9" s="3">
        <v>33.731000000000002</v>
      </c>
      <c r="D9" s="3">
        <v>32.966999999999999</v>
      </c>
      <c r="F9" t="s">
        <v>114</v>
      </c>
      <c r="G9">
        <v>43.081000000000003</v>
      </c>
      <c r="H9">
        <v>44.043999999999997</v>
      </c>
      <c r="I9">
        <v>43.956000000000003</v>
      </c>
    </row>
    <row r="10" spans="1:9" x14ac:dyDescent="0.3">
      <c r="A10" s="2" t="s">
        <v>40</v>
      </c>
      <c r="B10" s="3">
        <v>43.927999999999997</v>
      </c>
      <c r="C10" s="3">
        <v>44.017000000000003</v>
      </c>
      <c r="D10" s="3">
        <v>43.34</v>
      </c>
      <c r="F10" t="s">
        <v>94</v>
      </c>
      <c r="G10">
        <v>31.568999999999999</v>
      </c>
      <c r="H10">
        <v>31.574000000000002</v>
      </c>
      <c r="I10">
        <v>31.98</v>
      </c>
    </row>
    <row r="11" spans="1:9" x14ac:dyDescent="0.3">
      <c r="A11" s="2" t="s">
        <v>41</v>
      </c>
      <c r="B11" s="3">
        <v>45.280999999999999</v>
      </c>
      <c r="C11" s="3">
        <v>45.460999999999999</v>
      </c>
      <c r="D11" s="3">
        <v>46.231000000000002</v>
      </c>
      <c r="F11" t="s">
        <v>7</v>
      </c>
      <c r="G11">
        <v>27.919</v>
      </c>
      <c r="H11">
        <v>27.757999999999999</v>
      </c>
    </row>
    <row r="12" spans="1:9" x14ac:dyDescent="0.3">
      <c r="A12" s="2" t="s">
        <v>32</v>
      </c>
      <c r="B12" s="3">
        <v>36.991999999999997</v>
      </c>
      <c r="C12" s="3">
        <v>37.430999999999997</v>
      </c>
      <c r="D12" s="3">
        <v>37.543999999999997</v>
      </c>
      <c r="F12" t="s">
        <v>58</v>
      </c>
      <c r="G12">
        <v>31.311</v>
      </c>
      <c r="H12">
        <v>31.289000000000001</v>
      </c>
      <c r="I12">
        <v>32.731000000000002</v>
      </c>
    </row>
    <row r="13" spans="1:9" x14ac:dyDescent="0.3">
      <c r="A13" s="2" t="s">
        <v>47</v>
      </c>
      <c r="B13" s="3">
        <v>36.584000000000003</v>
      </c>
      <c r="C13" s="3">
        <v>38.841999999999999</v>
      </c>
      <c r="D13" s="3">
        <v>39.386000000000003</v>
      </c>
      <c r="F13" t="s">
        <v>29</v>
      </c>
    </row>
    <row r="14" spans="1:9" x14ac:dyDescent="0.3">
      <c r="A14" s="2" t="s">
        <v>52</v>
      </c>
      <c r="B14" s="3">
        <v>38.709000000000003</v>
      </c>
      <c r="C14" s="3">
        <v>39.207999999999998</v>
      </c>
      <c r="D14" s="3">
        <v>37.71</v>
      </c>
      <c r="F14" t="s">
        <v>8</v>
      </c>
      <c r="G14">
        <v>43.097999999999999</v>
      </c>
      <c r="H14">
        <v>42.232999999999997</v>
      </c>
      <c r="I14">
        <v>41.774000000000001</v>
      </c>
    </row>
    <row r="15" spans="1:9" x14ac:dyDescent="0.3">
      <c r="A15" s="2" t="s">
        <v>57</v>
      </c>
      <c r="B15" s="3">
        <v>36.331000000000003</v>
      </c>
      <c r="C15" s="3">
        <v>51.594999999999999</v>
      </c>
      <c r="D15" s="3">
        <v>37.686999999999998</v>
      </c>
      <c r="F15" t="s">
        <v>78</v>
      </c>
      <c r="G15">
        <v>15.933</v>
      </c>
      <c r="H15">
        <v>16.634</v>
      </c>
      <c r="I15">
        <v>16.173999999999999</v>
      </c>
    </row>
    <row r="16" spans="1:9" x14ac:dyDescent="0.3">
      <c r="A16" s="2" t="s">
        <v>55</v>
      </c>
      <c r="B16" s="3">
        <v>23.106000000000002</v>
      </c>
      <c r="C16" s="3">
        <v>23.327999999999999</v>
      </c>
      <c r="D16" s="3">
        <v>22.837</v>
      </c>
      <c r="F16" t="s">
        <v>127</v>
      </c>
      <c r="G16">
        <v>26.234999999999999</v>
      </c>
      <c r="H16">
        <v>25.888000000000002</v>
      </c>
      <c r="I16">
        <v>27.143000000000001</v>
      </c>
    </row>
    <row r="17" spans="1:9" x14ac:dyDescent="0.3">
      <c r="A17" s="2" t="s">
        <v>58</v>
      </c>
      <c r="B17" s="3">
        <v>31.311</v>
      </c>
      <c r="C17" s="3">
        <v>31.289000000000001</v>
      </c>
      <c r="D17" s="3">
        <v>32.731000000000002</v>
      </c>
      <c r="F17" t="s">
        <v>20</v>
      </c>
    </row>
    <row r="18" spans="1:9" x14ac:dyDescent="0.3">
      <c r="A18" s="2" t="s">
        <v>59</v>
      </c>
      <c r="B18" s="3">
        <v>43.112000000000002</v>
      </c>
      <c r="C18" s="3">
        <v>42.609000000000002</v>
      </c>
      <c r="D18" s="3">
        <v>42.384999999999998</v>
      </c>
      <c r="F18" t="s">
        <v>73</v>
      </c>
      <c r="G18">
        <v>37.091999999999999</v>
      </c>
      <c r="H18">
        <v>38.146000000000001</v>
      </c>
      <c r="I18">
        <v>38.654000000000003</v>
      </c>
    </row>
    <row r="19" spans="1:9" x14ac:dyDescent="0.3">
      <c r="A19" s="2" t="s">
        <v>62</v>
      </c>
      <c r="B19" s="3">
        <v>30.63</v>
      </c>
      <c r="C19" s="3">
        <v>30.584</v>
      </c>
      <c r="D19" s="3"/>
      <c r="F19" t="s">
        <v>55</v>
      </c>
      <c r="G19">
        <v>23.106000000000002</v>
      </c>
      <c r="H19">
        <v>23.327999999999999</v>
      </c>
      <c r="I19">
        <v>22.837</v>
      </c>
    </row>
    <row r="20" spans="1:9" x14ac:dyDescent="0.3">
      <c r="A20" s="2" t="s">
        <v>66</v>
      </c>
      <c r="B20" s="3">
        <v>25.161999999999999</v>
      </c>
      <c r="C20" s="3">
        <v>26.236999999999998</v>
      </c>
      <c r="D20" s="3">
        <v>26.9</v>
      </c>
      <c r="F20" t="s">
        <v>11</v>
      </c>
      <c r="G20">
        <v>44.813000000000002</v>
      </c>
      <c r="H20">
        <v>44.081000000000003</v>
      </c>
      <c r="I20">
        <v>44.597999999999999</v>
      </c>
    </row>
    <row r="21" spans="1:9" x14ac:dyDescent="0.3">
      <c r="A21" s="2" t="s">
        <v>74</v>
      </c>
      <c r="B21" s="3">
        <v>29.221</v>
      </c>
      <c r="C21" s="3">
        <v>30.370999999999999</v>
      </c>
      <c r="D21" s="3">
        <v>30.402999999999999</v>
      </c>
      <c r="F21" t="s">
        <v>4</v>
      </c>
    </row>
    <row r="22" spans="1:9" x14ac:dyDescent="0.3">
      <c r="A22" s="2" t="s">
        <v>73</v>
      </c>
      <c r="B22" s="3">
        <v>37.091999999999999</v>
      </c>
      <c r="C22" s="3">
        <v>38.146000000000001</v>
      </c>
      <c r="D22" s="3">
        <v>38.654000000000003</v>
      </c>
      <c r="F22" t="s">
        <v>43</v>
      </c>
      <c r="G22">
        <v>32.155999999999999</v>
      </c>
      <c r="H22">
        <v>32.734000000000002</v>
      </c>
      <c r="I22">
        <v>33.258000000000003</v>
      </c>
    </row>
    <row r="23" spans="1:9" x14ac:dyDescent="0.3">
      <c r="A23" s="2" t="s">
        <v>78</v>
      </c>
      <c r="B23" s="3">
        <v>15.933</v>
      </c>
      <c r="C23" s="3">
        <v>16.634</v>
      </c>
      <c r="D23" s="3">
        <v>16.173999999999999</v>
      </c>
      <c r="F23" t="s">
        <v>137</v>
      </c>
    </row>
    <row r="24" spans="1:9" x14ac:dyDescent="0.3">
      <c r="A24" s="2" t="s">
        <v>91</v>
      </c>
      <c r="B24" s="3">
        <v>37.006999999999998</v>
      </c>
      <c r="C24" s="3">
        <v>38.401000000000003</v>
      </c>
      <c r="D24" s="3">
        <v>38.752000000000002</v>
      </c>
      <c r="F24" t="s">
        <v>108</v>
      </c>
    </row>
    <row r="25" spans="1:9" x14ac:dyDescent="0.3">
      <c r="A25" s="2" t="s">
        <v>94</v>
      </c>
      <c r="B25" s="3">
        <v>31.568999999999999</v>
      </c>
      <c r="C25" s="3">
        <v>31.574000000000002</v>
      </c>
      <c r="D25" s="3">
        <v>31.98</v>
      </c>
      <c r="F25" t="s">
        <v>96</v>
      </c>
    </row>
    <row r="26" spans="1:9" x14ac:dyDescent="0.3">
      <c r="A26" s="2" t="s">
        <v>92</v>
      </c>
      <c r="B26" s="3">
        <v>38.427999999999997</v>
      </c>
      <c r="C26" s="3">
        <v>38.698999999999998</v>
      </c>
      <c r="D26" s="3">
        <v>38.228000000000002</v>
      </c>
      <c r="F26" t="s">
        <v>32</v>
      </c>
      <c r="G26">
        <v>36.991999999999997</v>
      </c>
      <c r="H26">
        <v>37.430999999999997</v>
      </c>
      <c r="I26">
        <v>37.543999999999997</v>
      </c>
    </row>
    <row r="27" spans="1:9" x14ac:dyDescent="0.3">
      <c r="A27" s="2" t="s">
        <v>99</v>
      </c>
      <c r="B27" s="3">
        <v>32.366999999999997</v>
      </c>
      <c r="C27" s="3">
        <v>33.393999999999998</v>
      </c>
      <c r="D27" s="3">
        <v>33.9</v>
      </c>
      <c r="F27" t="s">
        <v>25</v>
      </c>
      <c r="G27">
        <v>20.382999999999999</v>
      </c>
      <c r="H27">
        <v>20.163</v>
      </c>
      <c r="I27">
        <v>20.158000000000001</v>
      </c>
    </row>
    <row r="28" spans="1:9" x14ac:dyDescent="0.3">
      <c r="A28" s="2" t="s">
        <v>100</v>
      </c>
      <c r="B28" s="3">
        <v>34.447000000000003</v>
      </c>
      <c r="C28" s="3">
        <v>34.323</v>
      </c>
      <c r="D28" s="3">
        <v>34.707999999999998</v>
      </c>
      <c r="F28" t="s">
        <v>102</v>
      </c>
    </row>
    <row r="29" spans="1:9" x14ac:dyDescent="0.3">
      <c r="A29" s="2" t="s">
        <v>112</v>
      </c>
      <c r="B29" s="3">
        <v>32.179000000000002</v>
      </c>
      <c r="C29" s="3">
        <v>32.384999999999998</v>
      </c>
      <c r="D29" s="3">
        <v>32.9</v>
      </c>
      <c r="F29" t="s">
        <v>41</v>
      </c>
      <c r="G29">
        <v>45.280999999999999</v>
      </c>
      <c r="H29">
        <v>45.460999999999999</v>
      </c>
      <c r="I29">
        <v>46.231000000000002</v>
      </c>
    </row>
    <row r="30" spans="1:9" x14ac:dyDescent="0.3">
      <c r="A30" s="2" t="s">
        <v>113</v>
      </c>
      <c r="B30" s="3">
        <v>36.353000000000002</v>
      </c>
      <c r="C30" s="3">
        <v>36.450000000000003</v>
      </c>
      <c r="D30" s="3">
        <v>36.021000000000001</v>
      </c>
      <c r="F30" t="s">
        <v>5</v>
      </c>
    </row>
    <row r="31" spans="1:9" x14ac:dyDescent="0.3">
      <c r="A31" s="2" t="s">
        <v>37</v>
      </c>
      <c r="B31" s="3">
        <v>33.593000000000004</v>
      </c>
      <c r="C31" s="3">
        <v>33.186999999999998</v>
      </c>
      <c r="D31" s="3">
        <v>33.658000000000001</v>
      </c>
      <c r="F31" t="s">
        <v>31</v>
      </c>
      <c r="G31">
        <v>33.347000000000001</v>
      </c>
      <c r="H31">
        <v>34.237000000000002</v>
      </c>
      <c r="I31">
        <v>34.893000000000001</v>
      </c>
    </row>
    <row r="32" spans="1:9" x14ac:dyDescent="0.3">
      <c r="A32" s="2" t="s">
        <v>114</v>
      </c>
      <c r="B32" s="3">
        <v>43.081000000000003</v>
      </c>
      <c r="C32" s="3">
        <v>44.043999999999997</v>
      </c>
      <c r="D32" s="3">
        <v>43.956000000000003</v>
      </c>
      <c r="F32" t="s">
        <v>126</v>
      </c>
    </row>
    <row r="33" spans="1:9" x14ac:dyDescent="0.3">
      <c r="A33" s="2" t="s">
        <v>24</v>
      </c>
      <c r="B33" s="3">
        <v>27.594999999999999</v>
      </c>
      <c r="C33" s="3">
        <v>27.763000000000002</v>
      </c>
      <c r="D33" s="3">
        <v>28.456</v>
      </c>
      <c r="F33" t="s">
        <v>28</v>
      </c>
    </row>
    <row r="34" spans="1:9" x14ac:dyDescent="0.3">
      <c r="A34" s="2" t="s">
        <v>122</v>
      </c>
      <c r="B34" s="3">
        <v>25.088000000000001</v>
      </c>
      <c r="C34" s="3">
        <v>25.302</v>
      </c>
      <c r="D34" s="3">
        <v>24.890999999999998</v>
      </c>
      <c r="F34" t="s">
        <v>117</v>
      </c>
    </row>
    <row r="35" spans="1:9" x14ac:dyDescent="0.3">
      <c r="A35" s="2" t="s">
        <v>43</v>
      </c>
      <c r="B35" s="3">
        <v>32.155999999999999</v>
      </c>
      <c r="C35" s="3">
        <v>32.734000000000002</v>
      </c>
      <c r="D35" s="3">
        <v>33.258000000000003</v>
      </c>
      <c r="F35" t="s">
        <v>105</v>
      </c>
    </row>
    <row r="36" spans="1:9" x14ac:dyDescent="0.3">
      <c r="A36" s="2" t="s">
        <v>127</v>
      </c>
      <c r="B36" s="3">
        <v>26.234999999999999</v>
      </c>
      <c r="C36" s="3">
        <v>25.888000000000002</v>
      </c>
      <c r="D36" s="3">
        <v>27.143000000000001</v>
      </c>
      <c r="F36" t="s">
        <v>37</v>
      </c>
      <c r="G36">
        <v>33.593000000000004</v>
      </c>
      <c r="H36">
        <v>33.186999999999998</v>
      </c>
      <c r="I36">
        <v>33.658000000000001</v>
      </c>
    </row>
    <row r="37" spans="1:9" x14ac:dyDescent="0.3">
      <c r="F37" t="s">
        <v>80</v>
      </c>
    </row>
    <row r="38" spans="1:9" x14ac:dyDescent="0.3">
      <c r="F38" t="s">
        <v>67</v>
      </c>
    </row>
    <row r="39" spans="1:9" x14ac:dyDescent="0.3">
      <c r="F39" t="s">
        <v>120</v>
      </c>
    </row>
    <row r="40" spans="1:9" x14ac:dyDescent="0.3">
      <c r="F40" t="s">
        <v>110</v>
      </c>
    </row>
    <row r="41" spans="1:9" x14ac:dyDescent="0.3">
      <c r="F41" t="s">
        <v>48</v>
      </c>
    </row>
    <row r="42" spans="1:9" x14ac:dyDescent="0.3">
      <c r="F42" t="s">
        <v>128</v>
      </c>
    </row>
    <row r="43" spans="1:9" x14ac:dyDescent="0.3">
      <c r="F43" t="s">
        <v>62</v>
      </c>
      <c r="G43">
        <v>30.63</v>
      </c>
      <c r="H43">
        <v>30.584</v>
      </c>
    </row>
    <row r="44" spans="1:9" x14ac:dyDescent="0.3">
      <c r="F44" t="s">
        <v>138</v>
      </c>
    </row>
    <row r="45" spans="1:9" x14ac:dyDescent="0.3">
      <c r="F45" t="s">
        <v>36</v>
      </c>
    </row>
    <row r="46" spans="1:9" x14ac:dyDescent="0.3">
      <c r="F46" t="s">
        <v>16</v>
      </c>
    </row>
    <row r="47" spans="1:9" x14ac:dyDescent="0.3">
      <c r="F47" t="s">
        <v>59</v>
      </c>
      <c r="G47">
        <v>43.112000000000002</v>
      </c>
      <c r="H47">
        <v>42.609000000000002</v>
      </c>
      <c r="I47">
        <v>42.384999999999998</v>
      </c>
    </row>
    <row r="48" spans="1:9" x14ac:dyDescent="0.3">
      <c r="F48" t="s">
        <v>19</v>
      </c>
    </row>
    <row r="49" spans="6:9" x14ac:dyDescent="0.3">
      <c r="F49" t="s">
        <v>76</v>
      </c>
    </row>
    <row r="50" spans="6:9" x14ac:dyDescent="0.3">
      <c r="F50" t="s">
        <v>101</v>
      </c>
    </row>
    <row r="51" spans="6:9" x14ac:dyDescent="0.3">
      <c r="F51" t="s">
        <v>63</v>
      </c>
    </row>
    <row r="52" spans="6:9" x14ac:dyDescent="0.3">
      <c r="F52" t="s">
        <v>113</v>
      </c>
      <c r="G52">
        <v>36.353000000000002</v>
      </c>
      <c r="H52">
        <v>36.450000000000003</v>
      </c>
      <c r="I52">
        <v>36.021000000000001</v>
      </c>
    </row>
    <row r="53" spans="6:9" x14ac:dyDescent="0.3">
      <c r="F53" t="s">
        <v>72</v>
      </c>
    </row>
    <row r="54" spans="6:9" x14ac:dyDescent="0.3">
      <c r="F54" t="s">
        <v>90</v>
      </c>
    </row>
    <row r="55" spans="6:9" x14ac:dyDescent="0.3">
      <c r="F55" t="s">
        <v>97</v>
      </c>
    </row>
    <row r="56" spans="6:9" x14ac:dyDescent="0.3">
      <c r="F56" t="s">
        <v>18</v>
      </c>
    </row>
    <row r="57" spans="6:9" x14ac:dyDescent="0.3">
      <c r="F57" t="s">
        <v>99</v>
      </c>
      <c r="G57">
        <v>32.366999999999997</v>
      </c>
      <c r="H57">
        <v>33.393999999999998</v>
      </c>
      <c r="I57">
        <v>33.9</v>
      </c>
    </row>
    <row r="58" spans="6:9" x14ac:dyDescent="0.3">
      <c r="F58" t="s">
        <v>87</v>
      </c>
    </row>
    <row r="59" spans="6:9" x14ac:dyDescent="0.3">
      <c r="F59" t="s">
        <v>50</v>
      </c>
    </row>
    <row r="60" spans="6:9" x14ac:dyDescent="0.3">
      <c r="F60" t="s">
        <v>70</v>
      </c>
    </row>
    <row r="61" spans="6:9" x14ac:dyDescent="0.3">
      <c r="F61" t="s">
        <v>139</v>
      </c>
    </row>
    <row r="62" spans="6:9" x14ac:dyDescent="0.3">
      <c r="F62" t="s">
        <v>60</v>
      </c>
    </row>
    <row r="63" spans="6:9" x14ac:dyDescent="0.3">
      <c r="F63" t="s">
        <v>30</v>
      </c>
    </row>
    <row r="64" spans="6:9" x14ac:dyDescent="0.3">
      <c r="F64" t="s">
        <v>35</v>
      </c>
    </row>
    <row r="65" spans="6:9" x14ac:dyDescent="0.3">
      <c r="F65" t="s">
        <v>119</v>
      </c>
    </row>
    <row r="66" spans="6:9" x14ac:dyDescent="0.3">
      <c r="F66" t="s">
        <v>85</v>
      </c>
    </row>
    <row r="67" spans="6:9" x14ac:dyDescent="0.3">
      <c r="F67" t="s">
        <v>38</v>
      </c>
      <c r="G67">
        <v>33.307000000000002</v>
      </c>
      <c r="H67">
        <v>33.731000000000002</v>
      </c>
      <c r="I67">
        <v>32.966999999999999</v>
      </c>
    </row>
    <row r="68" spans="6:9" x14ac:dyDescent="0.3">
      <c r="F68" t="s">
        <v>53</v>
      </c>
    </row>
    <row r="69" spans="6:9" x14ac:dyDescent="0.3">
      <c r="F69" t="s">
        <v>129</v>
      </c>
    </row>
    <row r="70" spans="6:9" x14ac:dyDescent="0.3">
      <c r="F70" t="s">
        <v>122</v>
      </c>
      <c r="G70">
        <v>25.088000000000001</v>
      </c>
      <c r="H70">
        <v>25.302</v>
      </c>
      <c r="I70">
        <v>24.890999999999998</v>
      </c>
    </row>
    <row r="71" spans="6:9" x14ac:dyDescent="0.3">
      <c r="F71" t="s">
        <v>89</v>
      </c>
    </row>
    <row r="72" spans="6:9" x14ac:dyDescent="0.3">
      <c r="F72" t="s">
        <v>21</v>
      </c>
    </row>
    <row r="73" spans="6:9" x14ac:dyDescent="0.3">
      <c r="F73" t="s">
        <v>9</v>
      </c>
    </row>
    <row r="74" spans="6:9" x14ac:dyDescent="0.3">
      <c r="F74" t="s">
        <v>95</v>
      </c>
    </row>
    <row r="75" spans="6:9" x14ac:dyDescent="0.3">
      <c r="F75" t="s">
        <v>61</v>
      </c>
    </row>
    <row r="76" spans="6:9" x14ac:dyDescent="0.3">
      <c r="F76" t="s">
        <v>82</v>
      </c>
    </row>
    <row r="77" spans="6:9" x14ac:dyDescent="0.3">
      <c r="F77" t="s">
        <v>26</v>
      </c>
    </row>
    <row r="78" spans="6:9" x14ac:dyDescent="0.3">
      <c r="F78" t="s">
        <v>131</v>
      </c>
    </row>
    <row r="79" spans="6:9" x14ac:dyDescent="0.3">
      <c r="F79" t="s">
        <v>103</v>
      </c>
    </row>
    <row r="80" spans="6:9" x14ac:dyDescent="0.3">
      <c r="F80" t="s">
        <v>111</v>
      </c>
    </row>
    <row r="81" spans="6:9" x14ac:dyDescent="0.3">
      <c r="F81" t="s">
        <v>100</v>
      </c>
      <c r="G81">
        <v>34.447000000000003</v>
      </c>
      <c r="H81">
        <v>34.323</v>
      </c>
      <c r="I81">
        <v>34.707999999999998</v>
      </c>
    </row>
    <row r="82" spans="6:9" x14ac:dyDescent="0.3">
      <c r="F82" t="s">
        <v>74</v>
      </c>
      <c r="G82">
        <v>29.221</v>
      </c>
      <c r="H82">
        <v>30.370999999999999</v>
      </c>
      <c r="I82">
        <v>30.402999999999999</v>
      </c>
    </row>
    <row r="83" spans="6:9" x14ac:dyDescent="0.3">
      <c r="F83" t="s">
        <v>98</v>
      </c>
    </row>
    <row r="84" spans="6:9" x14ac:dyDescent="0.3">
      <c r="F84" t="s">
        <v>75</v>
      </c>
    </row>
    <row r="85" spans="6:9" x14ac:dyDescent="0.3">
      <c r="F85" t="s">
        <v>3</v>
      </c>
    </row>
    <row r="86" spans="6:9" x14ac:dyDescent="0.3">
      <c r="F86" t="s">
        <v>17</v>
      </c>
    </row>
    <row r="87" spans="6:9" x14ac:dyDescent="0.3">
      <c r="F87" t="s">
        <v>34</v>
      </c>
    </row>
    <row r="88" spans="6:9" x14ac:dyDescent="0.3">
      <c r="F88" t="s">
        <v>83</v>
      </c>
    </row>
    <row r="89" spans="6:9" x14ac:dyDescent="0.3">
      <c r="F89" t="s">
        <v>47</v>
      </c>
      <c r="G89">
        <v>36.584000000000003</v>
      </c>
      <c r="H89">
        <v>38.841999999999999</v>
      </c>
      <c r="I89">
        <v>39.386000000000003</v>
      </c>
    </row>
    <row r="90" spans="6:9" x14ac:dyDescent="0.3">
      <c r="F90" t="s">
        <v>68</v>
      </c>
    </row>
    <row r="91" spans="6:9" x14ac:dyDescent="0.3">
      <c r="F91" t="s">
        <v>52</v>
      </c>
      <c r="G91">
        <v>38.709000000000003</v>
      </c>
      <c r="H91">
        <v>39.207999999999998</v>
      </c>
      <c r="I91">
        <v>37.71</v>
      </c>
    </row>
    <row r="92" spans="6:9" x14ac:dyDescent="0.3">
      <c r="F92" t="s">
        <v>49</v>
      </c>
    </row>
    <row r="93" spans="6:9" x14ac:dyDescent="0.3">
      <c r="F93" t="s">
        <v>118</v>
      </c>
    </row>
    <row r="94" spans="6:9" x14ac:dyDescent="0.3">
      <c r="F94" t="s">
        <v>121</v>
      </c>
    </row>
    <row r="95" spans="6:9" x14ac:dyDescent="0.3">
      <c r="F95" t="s">
        <v>14</v>
      </c>
    </row>
    <row r="96" spans="6:9" x14ac:dyDescent="0.3">
      <c r="F96" t="s">
        <v>140</v>
      </c>
    </row>
    <row r="97" spans="6:6" x14ac:dyDescent="0.3">
      <c r="F97" t="s">
        <v>125</v>
      </c>
    </row>
    <row r="98" spans="6:6" x14ac:dyDescent="0.3">
      <c r="F98" t="s">
        <v>56</v>
      </c>
    </row>
    <row r="99" spans="6:6" x14ac:dyDescent="0.3">
      <c r="F99" t="s">
        <v>130</v>
      </c>
    </row>
    <row r="100" spans="6:6" x14ac:dyDescent="0.3">
      <c r="F100" t="s">
        <v>45</v>
      </c>
    </row>
    <row r="101" spans="6:6" x14ac:dyDescent="0.3">
      <c r="F101" t="s">
        <v>132</v>
      </c>
    </row>
    <row r="102" spans="6:6" x14ac:dyDescent="0.3">
      <c r="F102" t="s">
        <v>69</v>
      </c>
    </row>
    <row r="103" spans="6:6" x14ac:dyDescent="0.3">
      <c r="F103" t="s">
        <v>54</v>
      </c>
    </row>
    <row r="104" spans="6:6" x14ac:dyDescent="0.3">
      <c r="F104" t="s">
        <v>106</v>
      </c>
    </row>
    <row r="105" spans="6:6" x14ac:dyDescent="0.3">
      <c r="F105" t="s">
        <v>51</v>
      </c>
    </row>
    <row r="106" spans="6:6" x14ac:dyDescent="0.3">
      <c r="F106" t="s">
        <v>93</v>
      </c>
    </row>
    <row r="107" spans="6:6" x14ac:dyDescent="0.3">
      <c r="F107" t="s">
        <v>39</v>
      </c>
    </row>
    <row r="108" spans="6:6" x14ac:dyDescent="0.3">
      <c r="F108" t="s">
        <v>109</v>
      </c>
    </row>
    <row r="109" spans="6:6" x14ac:dyDescent="0.3">
      <c r="F109" t="s">
        <v>84</v>
      </c>
    </row>
    <row r="110" spans="6:6" x14ac:dyDescent="0.3">
      <c r="F110" t="s">
        <v>64</v>
      </c>
    </row>
    <row r="111" spans="6:6" x14ac:dyDescent="0.3">
      <c r="F111" t="s">
        <v>6</v>
      </c>
    </row>
    <row r="112" spans="6:6" x14ac:dyDescent="0.3">
      <c r="F112" t="s">
        <v>22</v>
      </c>
    </row>
    <row r="113" spans="6:6" x14ac:dyDescent="0.3">
      <c r="F113" t="s">
        <v>81</v>
      </c>
    </row>
    <row r="114" spans="6:6" x14ac:dyDescent="0.3">
      <c r="F114" t="s">
        <v>44</v>
      </c>
    </row>
    <row r="115" spans="6:6" x14ac:dyDescent="0.3">
      <c r="F115" t="s">
        <v>86</v>
      </c>
    </row>
    <row r="116" spans="6:6" x14ac:dyDescent="0.3">
      <c r="F116" t="s">
        <v>71</v>
      </c>
    </row>
    <row r="117" spans="6:6" x14ac:dyDescent="0.3">
      <c r="F117" t="s">
        <v>27</v>
      </c>
    </row>
    <row r="118" spans="6:6" x14ac:dyDescent="0.3">
      <c r="F118" t="s">
        <v>15</v>
      </c>
    </row>
    <row r="119" spans="6:6" x14ac:dyDescent="0.3">
      <c r="F119" t="s">
        <v>141</v>
      </c>
    </row>
    <row r="120" spans="6:6" x14ac:dyDescent="0.3">
      <c r="F120" t="s">
        <v>142</v>
      </c>
    </row>
    <row r="121" spans="6:6" x14ac:dyDescent="0.3">
      <c r="F121" t="s">
        <v>2</v>
      </c>
    </row>
    <row r="122" spans="6:6" x14ac:dyDescent="0.3">
      <c r="F122" t="s">
        <v>79</v>
      </c>
    </row>
    <row r="123" spans="6:6" x14ac:dyDescent="0.3">
      <c r="F123" t="s">
        <v>143</v>
      </c>
    </row>
    <row r="124" spans="6:6" x14ac:dyDescent="0.3">
      <c r="F124" t="s">
        <v>124</v>
      </c>
    </row>
    <row r="125" spans="6:6" x14ac:dyDescent="0.3">
      <c r="F125" t="s">
        <v>107</v>
      </c>
    </row>
    <row r="126" spans="6:6" x14ac:dyDescent="0.3">
      <c r="F126" t="s">
        <v>42</v>
      </c>
    </row>
    <row r="127" spans="6:6" x14ac:dyDescent="0.3">
      <c r="F127" t="s">
        <v>88</v>
      </c>
    </row>
    <row r="128" spans="6:6" x14ac:dyDescent="0.3">
      <c r="F128" t="s">
        <v>65</v>
      </c>
    </row>
    <row r="129" spans="6:6" x14ac:dyDescent="0.3">
      <c r="F129" t="s">
        <v>123</v>
      </c>
    </row>
    <row r="130" spans="6:6" x14ac:dyDescent="0.3">
      <c r="F130" t="s">
        <v>77</v>
      </c>
    </row>
    <row r="131" spans="6:6" x14ac:dyDescent="0.3">
      <c r="F131" t="s">
        <v>115</v>
      </c>
    </row>
    <row r="132" spans="6:6" x14ac:dyDescent="0.3">
      <c r="F132" t="s">
        <v>46</v>
      </c>
    </row>
    <row r="133" spans="6:6" x14ac:dyDescent="0.3">
      <c r="F133" t="s">
        <v>13</v>
      </c>
    </row>
    <row r="134" spans="6:6" x14ac:dyDescent="0.3">
      <c r="F134" t="s">
        <v>1</v>
      </c>
    </row>
    <row r="135" spans="6:6" x14ac:dyDescent="0.3">
      <c r="F135" t="s">
        <v>104</v>
      </c>
    </row>
    <row r="136" spans="6:6" x14ac:dyDescent="0.3">
      <c r="F136" t="s">
        <v>12</v>
      </c>
    </row>
    <row r="137" spans="6:6" x14ac:dyDescent="0.3">
      <c r="F137" t="s">
        <v>144</v>
      </c>
    </row>
    <row r="138" spans="6:6" x14ac:dyDescent="0.3">
      <c r="F138" t="s">
        <v>10</v>
      </c>
    </row>
    <row r="139" spans="6:6" x14ac:dyDescent="0.3">
      <c r="F139" t="s">
        <v>116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tax_revenue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carlo</cp:lastModifiedBy>
  <dcterms:created xsi:type="dcterms:W3CDTF">2019-07-11T23:24:33Z</dcterms:created>
  <dcterms:modified xsi:type="dcterms:W3CDTF">2019-07-12T00:19:54Z</dcterms:modified>
</cp:coreProperties>
</file>